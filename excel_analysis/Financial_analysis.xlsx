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ment" sheetId="1" r:id="rId5"/>
    <sheet state="visible" name="Income Statement" sheetId="2" r:id="rId6"/>
    <sheet state="visible" name="Balance sheet" sheetId="3" r:id="rId7"/>
    <sheet state="visible" name="Cash flows" sheetId="4" r:id="rId8"/>
    <sheet state="visible" name="Scenario1 vs Scenario2" sheetId="5" r:id="rId9"/>
    <sheet state="visible" name="Overview" sheetId="6" r:id="rId10"/>
    <sheet state="hidden" name="Sheet4" sheetId="7" r:id="rId11"/>
  </sheets>
  <definedNames>
    <definedName name="BE_Total">#REF!</definedName>
    <definedName name="BE_Variable">#REF!</definedName>
    <definedName name="Suvartota_pašarams">#REF!</definedName>
    <definedName name="Table_total">#REF!</definedName>
    <definedName localSheetId="1" name="Revenue_increments">#REF!</definedName>
    <definedName name="Table_Variable">#REF!</definedName>
    <definedName name="Suvartota_sėklai">#REF!</definedName>
    <definedName name="Derlingumas">#REF!</definedName>
    <definedName name="Fixed_expenses">#REF!</definedName>
    <definedName name="Atsargos_t">#REF!</definedName>
    <definedName name="korekcijos_faktor">#REF!</definedName>
    <definedName localSheetId="3" name="Atsargos_t">#REF!</definedName>
    <definedName name="Pirkta_produkcija">#REF!</definedName>
    <definedName name="BE_Revenue">#REF!</definedName>
    <definedName name="Revenue_increments">#REF!</definedName>
    <definedName name="Contribution_margin">#REF!</definedName>
    <definedName name="Table_Revenue">#REF!</definedName>
    <definedName name="Parduota_natūra">#REF!</definedName>
    <definedName name="BE_Fixed">#REF!</definedName>
    <definedName name="Pardavimai_Lt">#REF!</definedName>
    <definedName localSheetId="3" name="ats">#REF!</definedName>
    <definedName localSheetId="2" name="Atsargos_t">#REF!</definedName>
    <definedName localSheetId="1" name="ats">#REF!</definedName>
    <definedName localSheetId="1" name="Atsargos_t">#REF!</definedName>
    <definedName name="Pardavimai_užskaitoma">#REF!</definedName>
    <definedName name="Table_Fixed">#REF!</definedName>
    <definedName localSheetId="3" name="Revenue_increments">#REF!</definedName>
    <definedName name="Derlius">#REF!</definedName>
    <definedName name="Išlaidos_Lt">#REF!</definedName>
    <definedName localSheetId="2" name="ats">#REF!</definedName>
    <definedName name="Plotas">#REF!</definedName>
    <definedName name="Kainos">#REF!</definedName>
    <definedName name="ats">#REF!</definedName>
    <definedName localSheetId="2" name="Revenue_increments">#REF!</definedName>
    <definedName name="korekcijos_faktor2">#REF!</definedName>
    <definedName name="Išlaikymo_nuostoliai">#REF!</definedName>
  </definedNames>
  <calcPr/>
</workbook>
</file>

<file path=xl/sharedStrings.xml><?xml version="1.0" encoding="utf-8"?>
<sst xmlns="http://schemas.openxmlformats.org/spreadsheetml/2006/main" count="279" uniqueCount="229">
  <si>
    <t>1 scenario</t>
  </si>
  <si>
    <t>2 scenario</t>
  </si>
  <si>
    <t>Project value and funding sources, EUR</t>
  </si>
  <si>
    <t>EUR, without VAT</t>
  </si>
  <si>
    <t>Total</t>
  </si>
  <si>
    <t>Investments in fixed assets - equipment</t>
  </si>
  <si>
    <t>Investments in fixed assets - buildings</t>
  </si>
  <si>
    <t>Salary of the project implementation team</t>
  </si>
  <si>
    <t>Purchase of services</t>
  </si>
  <si>
    <t>Total value of the project</t>
  </si>
  <si>
    <t>Private investment (third party)</t>
  </si>
  <si>
    <t>Own funds</t>
  </si>
  <si>
    <t>Financing of credit institutions</t>
  </si>
  <si>
    <t>Project funding sources, total</t>
  </si>
  <si>
    <t>Loan terms</t>
  </si>
  <si>
    <t>Private investment</t>
  </si>
  <si>
    <t>Duration - 5 years, interest rate - 5 percent.</t>
  </si>
  <si>
    <t>Refund - at expiration.</t>
  </si>
  <si>
    <t>Bank loan</t>
  </si>
  <si>
    <t>Duration - 3 years, interest rate - 3 percent.</t>
  </si>
  <si>
    <t>Repayment - a yearly loan balance of EUR 500,000 is repaid..</t>
  </si>
  <si>
    <t>Statement of profit or loss(Income Statement), EUR</t>
  </si>
  <si>
    <t>Articles</t>
  </si>
  <si>
    <t>I.</t>
  </si>
  <si>
    <t>SALES REVENUE</t>
  </si>
  <si>
    <t>II.</t>
  </si>
  <si>
    <t>COST OF SALES</t>
  </si>
  <si>
    <t>COGS Ratio</t>
  </si>
  <si>
    <t>Depreciation and amortization</t>
  </si>
  <si>
    <t>Materials (raw materials)</t>
  </si>
  <si>
    <t>Wage</t>
  </si>
  <si>
    <t>Rental of industrial premises</t>
  </si>
  <si>
    <t>Others</t>
  </si>
  <si>
    <t>III.</t>
  </si>
  <si>
    <t>GROSS PROFIT (LOSS)</t>
  </si>
  <si>
    <t>IV.</t>
  </si>
  <si>
    <t>OPERATING COSTS</t>
  </si>
  <si>
    <t xml:space="preserve">  IV.1</t>
  </si>
  <si>
    <t>For sale</t>
  </si>
  <si>
    <t>Marketing</t>
  </si>
  <si>
    <t xml:space="preserve">  IV.2</t>
  </si>
  <si>
    <t>General and administrative</t>
  </si>
  <si>
    <t>Rent of premises</t>
  </si>
  <si>
    <t>V.</t>
  </si>
  <si>
    <t>OPERATING PROFIT</t>
  </si>
  <si>
    <t>VI.</t>
  </si>
  <si>
    <t>ANOTHER ACTIVITY</t>
  </si>
  <si>
    <t xml:space="preserve">  VI.1.</t>
  </si>
  <si>
    <t>Income</t>
  </si>
  <si>
    <t xml:space="preserve">  VI.2.</t>
  </si>
  <si>
    <t>Costs</t>
  </si>
  <si>
    <t>VII.</t>
  </si>
  <si>
    <t>FINANCING AND INVESTING ACTIVITIES</t>
  </si>
  <si>
    <t xml:space="preserve">  VII.1.</t>
  </si>
  <si>
    <t xml:space="preserve">  VII.2.</t>
  </si>
  <si>
    <t>X.</t>
  </si>
  <si>
    <t>LOSSES</t>
  </si>
  <si>
    <t>XI.</t>
  </si>
  <si>
    <t>PROFIT (LOSS) BEFORE TAX</t>
  </si>
  <si>
    <t>XII.</t>
  </si>
  <si>
    <t>INCOME TAX</t>
  </si>
  <si>
    <t>TAX %</t>
  </si>
  <si>
    <t>XIII.</t>
  </si>
  <si>
    <t>NET PROFIT (LOSS)</t>
  </si>
  <si>
    <t>Actual</t>
  </si>
  <si>
    <t>FIXED ASSETS</t>
  </si>
  <si>
    <t>INTANGIBLE ASSETS</t>
  </si>
  <si>
    <t>Patents and licenses</t>
  </si>
  <si>
    <t>software</t>
  </si>
  <si>
    <t>Other current assets</t>
  </si>
  <si>
    <t>TANGIBLE ASSETS</t>
  </si>
  <si>
    <t>Land</t>
  </si>
  <si>
    <t>Buildings and structures</t>
  </si>
  <si>
    <t>Machinery and equipment</t>
  </si>
  <si>
    <t>Vehicles</t>
  </si>
  <si>
    <t>Other equipment, tools and installations</t>
  </si>
  <si>
    <t>Construction work in progress</t>
  </si>
  <si>
    <t>Financial assets</t>
  </si>
  <si>
    <t>OTHER FIXED ASSETS</t>
  </si>
  <si>
    <t>CURRENT ASSETS</t>
  </si>
  <si>
    <t>STOCKS</t>
  </si>
  <si>
    <t>Raw materials and components</t>
  </si>
  <si>
    <t>Unfinished production</t>
  </si>
  <si>
    <t>Finished products</t>
  </si>
  <si>
    <t>Goods for resale</t>
  </si>
  <si>
    <t>Other</t>
  </si>
  <si>
    <t>AMOUNTS RECEIVABLE DURING ONE YEAR</t>
  </si>
  <si>
    <t>Trade receivables</t>
  </si>
  <si>
    <t>Other receivables</t>
  </si>
  <si>
    <t>OTHER CURRENT ASSETS</t>
  </si>
  <si>
    <t>CASH AND CASH EQUIVALENTS</t>
  </si>
  <si>
    <t>TOTAL ASSETS:</t>
  </si>
  <si>
    <t>PERSONAL CAPITAL</t>
  </si>
  <si>
    <t>CAPITAL:</t>
  </si>
  <si>
    <t>Authorized capital</t>
  </si>
  <si>
    <t>Discount extras</t>
  </si>
  <si>
    <t>REVALUATION RESERVE</t>
  </si>
  <si>
    <t>RESERVES:</t>
  </si>
  <si>
    <t>Mandatory</t>
  </si>
  <si>
    <t>Retained Earnings (LOSS)</t>
  </si>
  <si>
    <t>Profit (loss) for the reporting year</t>
  </si>
  <si>
    <t>Profit (loss) for the previous year</t>
  </si>
  <si>
    <t>GRANTS AND SUBSIDIES</t>
  </si>
  <si>
    <t>PAYMENT SUMS AND LIABILITIES</t>
  </si>
  <si>
    <t>AMOUNTS PAYABLE AFTER ONE YEAR AND NON-CURRENT LIABILITIES</t>
  </si>
  <si>
    <t>Financial debts</t>
  </si>
  <si>
    <t>Other debts</t>
  </si>
  <si>
    <t>AMOUNTS PAYABLE WITHIN ONE YEAR AND CURRENT LIABILITIES</t>
  </si>
  <si>
    <t>Current part of long - term debt</t>
  </si>
  <si>
    <t>Debts to suppliers</t>
  </si>
  <si>
    <t>TOTAL EQUITY AND LIABILITIES:</t>
  </si>
  <si>
    <t>Cash inflow (including VAT):</t>
  </si>
  <si>
    <t>From customers</t>
  </si>
  <si>
    <t>Cash benefits:</t>
  </si>
  <si>
    <t>Money paid to suppliers</t>
  </si>
  <si>
    <t>For wages</t>
  </si>
  <si>
    <t>Fees paid</t>
  </si>
  <si>
    <t>Other benefits</t>
  </si>
  <si>
    <t>Net cash flows from manufacturing activities</t>
  </si>
  <si>
    <t>Acquisition of fixed assets</t>
  </si>
  <si>
    <t>Transfer of fixed assets</t>
  </si>
  <si>
    <t>Other cash flows from investing activities (listed)</t>
  </si>
  <si>
    <t>Net cash flows from investing activities</t>
  </si>
  <si>
    <t>Shareholders' contributions</t>
  </si>
  <si>
    <t>Dividends are paid</t>
  </si>
  <si>
    <t>Obtaining loans</t>
  </si>
  <si>
    <t>Repayment of loans</t>
  </si>
  <si>
    <t>Interest paid</t>
  </si>
  <si>
    <t>Other cash flows from financing activities</t>
  </si>
  <si>
    <t>Net cash flows from financing activities</t>
  </si>
  <si>
    <t>Cash flow</t>
  </si>
  <si>
    <t>Amount of money at the beginning of the year</t>
  </si>
  <si>
    <t>Amount of money at the end of the year</t>
  </si>
  <si>
    <t>Check</t>
  </si>
  <si>
    <t>Scenario 1 (Build a factory)</t>
  </si>
  <si>
    <t>Key assumptions:</t>
  </si>
  <si>
    <t>2017(Actual)</t>
  </si>
  <si>
    <t>2018(Proj. invest)</t>
  </si>
  <si>
    <t>2019(Proj. invest)</t>
  </si>
  <si>
    <t>2020(Proj.)</t>
  </si>
  <si>
    <t>2021(Proj.)</t>
  </si>
  <si>
    <t>2022(Proj.)</t>
  </si>
  <si>
    <t>2023(Proj.)</t>
  </si>
  <si>
    <t>2024(Proj.)</t>
  </si>
  <si>
    <t>Average Salary: Based on a total wage expense of €1,368,507 for 60 employees</t>
  </si>
  <si>
    <t>Baseline</t>
  </si>
  <si>
    <t>Cost of Sales (COGS) Ratio (of sales revenue):</t>
  </si>
  <si>
    <t>Base sales revenue</t>
  </si>
  <si>
    <t xml:space="preserve">Tax Rate: </t>
  </si>
  <si>
    <t>15% (based on 2016-2017).</t>
  </si>
  <si>
    <t>Project Sales Revenue</t>
  </si>
  <si>
    <t>Discount Rate:</t>
  </si>
  <si>
    <t xml:space="preserve"> Revenue Growth %</t>
  </si>
  <si>
    <t>10% (Building)</t>
  </si>
  <si>
    <t xml:space="preserve">Evaluation: </t>
  </si>
  <si>
    <t xml:space="preserve">7 years (2018–2024) </t>
  </si>
  <si>
    <t>Incremental Revenue</t>
  </si>
  <si>
    <t xml:space="preserve">Incremental Marketing </t>
  </si>
  <si>
    <t>Incremental COGS 25.42%</t>
  </si>
  <si>
    <t>Baseline company sales grow at 10% per year.</t>
  </si>
  <si>
    <t>Incremental Marketing (11.85%)</t>
  </si>
  <si>
    <t>Total Variable Costs (37.272%)</t>
  </si>
  <si>
    <t>Salary Expense</t>
  </si>
  <si>
    <t>Incremental EBITDA</t>
  </si>
  <si>
    <t>Depreciation(15 years)</t>
  </si>
  <si>
    <t>EBIT</t>
  </si>
  <si>
    <t>TAX 15%</t>
  </si>
  <si>
    <t>Net Operating Profit After Tax</t>
  </si>
  <si>
    <t>Working capital (10%)</t>
  </si>
  <si>
    <t>CapEx (project costs)</t>
  </si>
  <si>
    <t>FREE CASH FLOW</t>
  </si>
  <si>
    <t>Cumulative Cash Flow</t>
  </si>
  <si>
    <t>NPV</t>
  </si>
  <si>
    <t>IRR</t>
  </si>
  <si>
    <t>Payback Period</t>
  </si>
  <si>
    <t>~4.5 years</t>
  </si>
  <si>
    <t>Total investments:</t>
  </si>
  <si>
    <t>Total net cash inflow:</t>
  </si>
  <si>
    <t>Net benefit:</t>
  </si>
  <si>
    <t>ROI:</t>
  </si>
  <si>
    <t>Scenario 2 (Digital product)</t>
  </si>
  <si>
    <t>Key assumptions</t>
  </si>
  <si>
    <t>2018(Campaign)</t>
  </si>
  <si>
    <t>2019(Campaign)</t>
  </si>
  <si>
    <t>Tax rate: 15%</t>
  </si>
  <si>
    <t xml:space="preserve">Discount rate: </t>
  </si>
  <si>
    <t>Incremental Marketing: (campaign years included in €8m)</t>
  </si>
  <si>
    <t>€1,000,000 from 2020</t>
  </si>
  <si>
    <t>Incremental employees:</t>
  </si>
  <si>
    <t>30%(campaign)</t>
  </si>
  <si>
    <t>Evaluation:</t>
  </si>
  <si>
    <t>Baseline revenue growth (no project):</t>
  </si>
  <si>
    <t>10% (same as Scenario 1)</t>
  </si>
  <si>
    <t>Other variable operating costs (20%)</t>
  </si>
  <si>
    <t>Salary expense:</t>
  </si>
  <si>
    <t>Incremental Marketing</t>
  </si>
  <si>
    <t xml:space="preserve">Depreciation: </t>
  </si>
  <si>
    <t xml:space="preserve">Total Variable Costs </t>
  </si>
  <si>
    <t>~5 years</t>
  </si>
  <si>
    <t>Metric</t>
  </si>
  <si>
    <t>Scenario 1 – Factory Expansion</t>
  </si>
  <si>
    <t>Scenario 2 – Digital Product</t>
  </si>
  <si>
    <t>Initial Investment (EUR)</t>
  </si>
  <si>
    <t>NPV (10%, EUR)</t>
  </si>
  <si>
    <t>IRR (%)</t>
  </si>
  <si>
    <t>Payback Period (years)</t>
  </si>
  <si>
    <t>~4.5</t>
  </si>
  <si>
    <t>~5.35</t>
  </si>
  <si>
    <t>ROI (%)</t>
  </si>
  <si>
    <t>Cumulative FCF (2024, EUR)</t>
  </si>
  <si>
    <t>3.40m</t>
  </si>
  <si>
    <t>2.02m</t>
  </si>
  <si>
    <t>Value Creation</t>
  </si>
  <si>
    <t>Yes</t>
  </si>
  <si>
    <t>No</t>
  </si>
  <si>
    <t>Risk Profile</t>
  </si>
  <si>
    <t>Moderate</t>
  </si>
  <si>
    <t>Higher</t>
  </si>
  <si>
    <t>Overall Assessment</t>
  </si>
  <si>
    <t>Preferred option</t>
  </si>
  <si>
    <t>Not recommended</t>
  </si>
  <si>
    <t>Year</t>
  </si>
  <si>
    <t>Scenario 1 FCF</t>
  </si>
  <si>
    <t>Scenario 2 FCF</t>
  </si>
  <si>
    <t>Scenario 1 – Cumulative FCF</t>
  </si>
  <si>
    <t>Scenario 2 – Cumulative FCF</t>
  </si>
  <si>
    <t>Scenario 1</t>
  </si>
  <si>
    <t>Scenario 2</t>
  </si>
  <si>
    <t>NPV (EUR)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</si>
</sst>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_);_(@_)"/>
    <numFmt numFmtId="165" formatCode="#,##0;(#,##0)"/>
    <numFmt numFmtId="166" formatCode="0.0%"/>
  </numFmts>
  <fonts count="18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1.0"/>
      <color rgb="FF000000"/>
      <name val="Calibri"/>
    </font>
    <font>
      <sz val="10.0"/>
      <color theme="1"/>
      <name val="Arial"/>
    </font>
    <font>
      <b/>
      <sz val="11.0"/>
      <color rgb="FF000000"/>
      <name val="Calibri"/>
    </font>
    <font>
      <i/>
      <sz val="10.0"/>
      <color theme="1"/>
      <name val="Arial"/>
    </font>
    <font>
      <sz val="10.0"/>
      <color theme="1"/>
      <name val="Times New Roman"/>
    </font>
    <font>
      <b/>
      <sz val="10.0"/>
      <color theme="1"/>
      <name val="Times New Roman"/>
    </font>
    <font>
      <i/>
      <sz val="10.0"/>
      <color rgb="FF000000"/>
      <name val="Times New Roman"/>
    </font>
    <font>
      <u/>
      <sz val="10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color rgb="FF1F1F1F"/>
      <name val="&quot;Google Sans Text&quot;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</fills>
  <borders count="29">
    <border/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double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left" vertical="center"/>
    </xf>
    <xf borderId="6" fillId="0" fontId="4" numFmtId="4" xfId="0" applyBorder="1" applyFont="1" applyNumberFormat="1"/>
    <xf borderId="8" fillId="0" fontId="4" numFmtId="4" xfId="0" applyBorder="1" applyFont="1" applyNumberFormat="1"/>
    <xf borderId="7" fillId="0" fontId="5" numFmtId="0" xfId="0" applyAlignment="1" applyBorder="1" applyFont="1">
      <alignment vertical="center"/>
    </xf>
    <xf borderId="6" fillId="0" fontId="1" numFmtId="4" xfId="0" applyBorder="1" applyFont="1" applyNumberFormat="1"/>
    <xf borderId="8" fillId="0" fontId="1" numFmtId="4" xfId="0" applyBorder="1" applyFont="1" applyNumberFormat="1"/>
    <xf borderId="9" fillId="0" fontId="5" numFmtId="0" xfId="0" applyAlignment="1" applyBorder="1" applyFont="1">
      <alignment vertical="center"/>
    </xf>
    <xf borderId="10" fillId="0" fontId="1" numFmtId="4" xfId="0" applyBorder="1" applyFont="1" applyNumberFormat="1"/>
    <xf borderId="11" fillId="0" fontId="1" numFmtId="4" xfId="0" applyBorder="1" applyFont="1" applyNumberFormat="1"/>
    <xf borderId="11" fillId="0" fontId="4" numFmtId="4" xfId="0" applyBorder="1" applyFont="1" applyNumberFormat="1"/>
    <xf borderId="12" fillId="0" fontId="5" numFmtId="0" xfId="0" applyAlignment="1" applyBorder="1" applyFont="1">
      <alignment vertical="center"/>
    </xf>
    <xf borderId="13" fillId="0" fontId="1" numFmtId="4" xfId="0" applyBorder="1" applyFont="1" applyNumberFormat="1"/>
    <xf borderId="14" fillId="0" fontId="1" numFmtId="4" xfId="0" applyBorder="1" applyFont="1" applyNumberFormat="1"/>
    <xf borderId="15" fillId="0" fontId="1" numFmtId="4" xfId="0" applyBorder="1" applyFont="1" applyNumberFormat="1"/>
    <xf borderId="0" fillId="0" fontId="4" numFmtId="4" xfId="0" applyFont="1" applyNumberFormat="1"/>
    <xf borderId="0" fillId="0" fontId="6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7" numFmtId="0" xfId="0" applyFont="1"/>
    <xf borderId="0" fillId="0" fontId="7" numFmtId="164" xfId="0" applyFont="1" applyNumberFormat="1"/>
    <xf borderId="16" fillId="0" fontId="8" numFmtId="0" xfId="0" applyAlignment="1" applyBorder="1" applyFont="1">
      <alignment horizontal="center" readingOrder="0"/>
    </xf>
    <xf borderId="16" fillId="0" fontId="2" numFmtId="0" xfId="0" applyBorder="1" applyFont="1"/>
    <xf borderId="0" fillId="0" fontId="7" numFmtId="0" xfId="0" applyAlignment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7" fillId="0" fontId="7" numFmtId="1" xfId="0" applyAlignment="1" applyBorder="1" applyFont="1" applyNumberFormat="1">
      <alignment horizontal="center" shrinkToFit="0" vertical="center" wrapText="1"/>
    </xf>
    <xf borderId="17" fillId="0" fontId="7" numFmtId="1" xfId="0" applyAlignment="1" applyBorder="1" applyFont="1" applyNumberFormat="1">
      <alignment horizontal="center" readingOrder="0" shrinkToFit="0" vertical="center" wrapText="1"/>
    </xf>
    <xf borderId="18" fillId="0" fontId="2" numFmtId="0" xfId="0" applyBorder="1" applyFont="1"/>
    <xf borderId="0" fillId="0" fontId="8" numFmtId="0" xfId="0" applyFont="1"/>
    <xf borderId="0" fillId="0" fontId="8" numFmtId="0" xfId="0" applyAlignment="1" applyFont="1">
      <alignment horizontal="left"/>
    </xf>
    <xf borderId="0" fillId="0" fontId="8" numFmtId="3" xfId="0" applyAlignment="1" applyFont="1" applyNumberFormat="1">
      <alignment horizontal="right"/>
    </xf>
    <xf borderId="0" fillId="2" fontId="8" numFmtId="0" xfId="0" applyAlignment="1" applyFill="1" applyFont="1">
      <alignment horizontal="left" readingOrder="0"/>
    </xf>
    <xf borderId="0" fillId="2" fontId="8" numFmtId="3" xfId="0" applyAlignment="1" applyFont="1" applyNumberFormat="1">
      <alignment horizontal="right"/>
    </xf>
    <xf borderId="0" fillId="2" fontId="8" numFmtId="10" xfId="0" applyAlignment="1" applyFont="1" applyNumberFormat="1">
      <alignment horizontal="right"/>
    </xf>
    <xf borderId="0" fillId="0" fontId="9" numFmtId="0" xfId="0" applyAlignment="1" applyFont="1">
      <alignment shrinkToFit="0" vertical="center" wrapText="1"/>
    </xf>
    <xf borderId="0" fillId="0" fontId="7" numFmtId="3" xfId="0" applyAlignment="1" applyFont="1" applyNumberFormat="1">
      <alignment shrinkToFit="0" vertical="center" wrapText="1"/>
    </xf>
    <xf borderId="0" fillId="0" fontId="4" numFmtId="3" xfId="0" applyAlignment="1" applyFont="1" applyNumberFormat="1">
      <alignment shrinkToFit="0" vertical="center" wrapText="1"/>
    </xf>
    <xf borderId="0" fillId="0" fontId="8" numFmtId="3" xfId="0" applyFont="1" applyNumberFormat="1"/>
    <xf borderId="0" fillId="0" fontId="7" numFmtId="0" xfId="0" applyAlignment="1" applyFont="1">
      <alignment horizontal="left"/>
    </xf>
    <xf borderId="0" fillId="0" fontId="7" numFmtId="3" xfId="0" applyFont="1" applyNumberFormat="1"/>
    <xf borderId="0" fillId="0" fontId="9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readingOrder="0"/>
    </xf>
    <xf borderId="0" fillId="2" fontId="7" numFmtId="0" xfId="0" applyAlignment="1" applyFont="1">
      <alignment horizontal="left" readingOrder="0"/>
    </xf>
    <xf borderId="0" fillId="2" fontId="7" numFmtId="10" xfId="0" applyAlignment="1" applyFont="1" applyNumberFormat="1">
      <alignment horizontal="right"/>
    </xf>
    <xf borderId="0" fillId="0" fontId="7" numFmtId="10" xfId="0" applyAlignment="1" applyFont="1" applyNumberFormat="1">
      <alignment horizontal="right"/>
    </xf>
    <xf borderId="0" fillId="0" fontId="7" numFmtId="1" xfId="0" applyFont="1" applyNumberFormat="1"/>
    <xf borderId="6" fillId="0" fontId="1" numFmtId="0" xfId="0" applyAlignment="1" applyBorder="1" applyFont="1">
      <alignment shrinkToFit="0" wrapText="1"/>
    </xf>
    <xf borderId="7" fillId="0" fontId="4" numFmtId="0" xfId="0" applyBorder="1" applyFont="1"/>
    <xf borderId="6" fillId="0" fontId="4" numFmtId="3" xfId="0" applyBorder="1" applyFont="1" applyNumberFormat="1"/>
    <xf borderId="7" fillId="0" fontId="4" numFmtId="0" xfId="0" applyAlignment="1" applyBorder="1" applyFont="1">
      <alignment horizontal="left"/>
    </xf>
    <xf borderId="19" fillId="0" fontId="4" numFmtId="0" xfId="0" applyAlignment="1" applyBorder="1" applyFont="1">
      <alignment horizontal="left"/>
    </xf>
    <xf borderId="20" fillId="0" fontId="4" numFmtId="3" xfId="0" applyBorder="1" applyFont="1" applyNumberFormat="1"/>
    <xf borderId="21" fillId="0" fontId="4" numFmtId="0" xfId="0" applyAlignment="1" applyBorder="1" applyFont="1">
      <alignment horizontal="left"/>
    </xf>
    <xf borderId="22" fillId="0" fontId="4" numFmtId="3" xfId="0" applyBorder="1" applyFont="1" applyNumberFormat="1"/>
    <xf borderId="23" fillId="0" fontId="4" numFmtId="0" xfId="0" applyAlignment="1" applyBorder="1" applyFont="1">
      <alignment horizontal="left"/>
    </xf>
    <xf borderId="24" fillId="0" fontId="4" numFmtId="3" xfId="0" applyBorder="1" applyFont="1" applyNumberFormat="1"/>
    <xf borderId="7" fillId="0" fontId="4" numFmtId="0" xfId="0" applyAlignment="1" applyBorder="1" applyFont="1">
      <alignment horizontal="left" readingOrder="0"/>
    </xf>
    <xf borderId="19" fillId="0" fontId="4" numFmtId="0" xfId="0" applyAlignment="1" applyBorder="1" applyFont="1">
      <alignment horizontal="left" readingOrder="0"/>
    </xf>
    <xf borderId="25" fillId="0" fontId="4" numFmtId="0" xfId="0" applyAlignment="1" applyBorder="1" applyFont="1">
      <alignment horizontal="left"/>
    </xf>
    <xf borderId="26" fillId="0" fontId="4" numFmtId="3" xfId="0" applyBorder="1" applyFont="1" applyNumberFormat="1"/>
    <xf borderId="12" fillId="0" fontId="1" numFmtId="0" xfId="0" applyBorder="1" applyFont="1"/>
    <xf borderId="14" fillId="0" fontId="1" numFmtId="3" xfId="0" applyBorder="1" applyFont="1" applyNumberFormat="1"/>
    <xf borderId="0" fillId="0" fontId="4" numFmtId="3" xfId="0" applyFont="1" applyNumberFormat="1"/>
    <xf borderId="27" fillId="0" fontId="4" numFmtId="0" xfId="0" applyBorder="1" applyFont="1"/>
    <xf borderId="28" fillId="0" fontId="4" numFmtId="3" xfId="0" applyBorder="1" applyFont="1" applyNumberFormat="1"/>
    <xf borderId="23" fillId="0" fontId="4" numFmtId="0" xfId="0" applyAlignment="1" applyBorder="1" applyFont="1">
      <alignment horizontal="left" readingOrder="0"/>
    </xf>
    <xf borderId="24" fillId="0" fontId="4" numFmtId="3" xfId="0" applyAlignment="1" applyBorder="1" applyFont="1" applyNumberFormat="1">
      <alignment readingOrder="0"/>
    </xf>
    <xf borderId="0" fillId="0" fontId="4" numFmtId="0" xfId="0" applyAlignment="1" applyFont="1">
      <alignment horizontal="right"/>
    </xf>
    <xf borderId="7" fillId="0" fontId="10" numFmtId="0" xfId="0" applyAlignment="1" applyBorder="1" applyFont="1">
      <alignment shrinkToFit="0" vertical="center" wrapText="1"/>
    </xf>
    <xf borderId="6" fillId="0" fontId="4" numFmtId="3" xfId="0" applyAlignment="1" applyBorder="1" applyFont="1" applyNumberFormat="1">
      <alignment shrinkToFit="0" vertical="center" wrapText="1"/>
    </xf>
    <xf borderId="7" fillId="0" fontId="11" numFmtId="0" xfId="0" applyAlignment="1" applyBorder="1" applyFont="1">
      <alignment shrinkToFit="0" vertical="center" wrapText="1"/>
    </xf>
    <xf borderId="7" fillId="0" fontId="12" numFmtId="0" xfId="0" applyAlignment="1" applyBorder="1" applyFont="1">
      <alignment shrinkToFit="0" vertical="center" wrapText="1"/>
    </xf>
    <xf borderId="6" fillId="0" fontId="1" numFmtId="3" xfId="0" applyAlignment="1" applyBorder="1" applyFont="1" applyNumberFormat="1">
      <alignment shrinkToFit="0" vertical="center" wrapText="1"/>
    </xf>
    <xf borderId="7" fillId="0" fontId="4" numFmtId="0" xfId="0" applyAlignment="1" applyBorder="1" applyFont="1">
      <alignment shrinkToFit="0" vertical="center" wrapText="1"/>
    </xf>
    <xf borderId="12" fillId="0" fontId="11" numFmtId="0" xfId="0" applyAlignment="1" applyBorder="1" applyFont="1">
      <alignment shrinkToFit="0" vertical="center" wrapText="1"/>
    </xf>
    <xf borderId="14" fillId="0" fontId="1" numFmtId="3" xfId="0" applyAlignment="1" applyBorder="1" applyFont="1" applyNumberFormat="1">
      <alignment shrinkToFit="0" vertical="center" wrapText="1"/>
    </xf>
    <xf borderId="0" fillId="0" fontId="13" numFmtId="165" xfId="0" applyAlignment="1" applyFont="1" applyNumberFormat="1">
      <alignment readingOrder="0"/>
    </xf>
    <xf borderId="0" fillId="0" fontId="14" numFmtId="165" xfId="0" applyFont="1" applyNumberFormat="1"/>
    <xf borderId="0" fillId="0" fontId="15" numFmtId="0" xfId="0" applyAlignment="1" applyFont="1">
      <alignment readingOrder="0"/>
    </xf>
    <xf borderId="0" fillId="0" fontId="14" numFmtId="0" xfId="0" applyAlignment="1" applyFont="1">
      <alignment horizontal="left"/>
    </xf>
    <xf borderId="6" fillId="0" fontId="14" numFmtId="165" xfId="0" applyBorder="1" applyFont="1" applyNumberFormat="1"/>
    <xf borderId="6" fillId="0" fontId="14" numFmtId="165" xfId="0" applyAlignment="1" applyBorder="1" applyFont="1" applyNumberFormat="1">
      <alignment readingOrder="0"/>
    </xf>
    <xf borderId="0" fillId="0" fontId="13" numFmtId="0" xfId="0" applyAlignment="1" applyFont="1">
      <alignment readingOrder="0"/>
    </xf>
    <xf borderId="0" fillId="0" fontId="4" numFmtId="3" xfId="0" applyAlignment="1" applyFont="1" applyNumberFormat="1">
      <alignment horizontal="left" readingOrder="0" shrinkToFit="0" vertical="center" wrapText="1"/>
    </xf>
    <xf borderId="0" fillId="0" fontId="14" numFmtId="10" xfId="0" applyAlignment="1" applyFont="1" applyNumberFormat="1">
      <alignment horizontal="left"/>
    </xf>
    <xf borderId="6" fillId="0" fontId="14" numFmtId="0" xfId="0" applyAlignment="1" applyBorder="1" applyFont="1">
      <alignment readingOrder="0"/>
    </xf>
    <xf borderId="0" fillId="0" fontId="14" numFmtId="0" xfId="0" applyAlignment="1" applyFont="1">
      <alignment horizontal="left" readingOrder="0"/>
    </xf>
    <xf borderId="6" fillId="0" fontId="13" numFmtId="0" xfId="0" applyAlignment="1" applyBorder="1" applyFont="1">
      <alignment readingOrder="0"/>
    </xf>
    <xf borderId="0" fillId="0" fontId="14" numFmtId="9" xfId="0" applyAlignment="1" applyFont="1" applyNumberFormat="1">
      <alignment horizontal="left" readingOrder="0"/>
    </xf>
    <xf borderId="6" fillId="0" fontId="16" numFmtId="10" xfId="0" applyAlignment="1" applyBorder="1" applyFont="1" applyNumberFormat="1">
      <alignment horizontal="right" readingOrder="0"/>
    </xf>
    <xf borderId="6" fillId="0" fontId="16" numFmtId="0" xfId="0" applyAlignment="1" applyBorder="1" applyFont="1">
      <alignment horizontal="right" readingOrder="0"/>
    </xf>
    <xf borderId="6" fillId="0" fontId="16" numFmtId="9" xfId="0" applyAlignment="1" applyBorder="1" applyFont="1" applyNumberFormat="1">
      <alignment horizontal="right" readingOrder="0"/>
    </xf>
    <xf borderId="6" fillId="0" fontId="16" numFmtId="9" xfId="0" applyAlignment="1" applyBorder="1" applyFont="1" applyNumberFormat="1">
      <alignment horizontal="right"/>
    </xf>
    <xf borderId="6" fillId="0" fontId="13" numFmtId="165" xfId="0" applyAlignment="1" applyBorder="1" applyFont="1" applyNumberFormat="1">
      <alignment readingOrder="0"/>
    </xf>
    <xf borderId="6" fillId="0" fontId="13" numFmtId="165" xfId="0" applyBorder="1" applyFont="1" applyNumberFormat="1"/>
    <xf borderId="0" fillId="0" fontId="13" numFmtId="0" xfId="0" applyFont="1"/>
    <xf borderId="0" fillId="0" fontId="14" numFmtId="10" xfId="0" applyAlignment="1" applyFont="1" applyNumberFormat="1">
      <alignment horizontal="left" readingOrder="0"/>
    </xf>
    <xf borderId="6" fillId="0" fontId="14" numFmtId="0" xfId="0" applyBorder="1" applyFont="1"/>
    <xf borderId="0" fillId="0" fontId="13" numFmtId="0" xfId="0" applyAlignment="1" applyFont="1">
      <alignment horizontal="left"/>
    </xf>
    <xf borderId="0" fillId="0" fontId="13" numFmtId="165" xfId="0" applyAlignment="1" applyFont="1" applyNumberFormat="1">
      <alignment horizontal="right"/>
    </xf>
    <xf borderId="0" fillId="0" fontId="13" numFmtId="10" xfId="0" applyAlignment="1" applyFont="1" applyNumberFormat="1">
      <alignment horizontal="right"/>
    </xf>
    <xf borderId="0" fillId="0" fontId="13" numFmtId="165" xfId="0" applyAlignment="1" applyFont="1" applyNumberFormat="1">
      <alignment horizontal="right" readingOrder="0"/>
    </xf>
    <xf borderId="0" fillId="0" fontId="14" numFmtId="165" xfId="0" applyAlignment="1" applyFont="1" applyNumberFormat="1">
      <alignment horizontal="right"/>
    </xf>
    <xf borderId="0" fillId="0" fontId="14" numFmtId="165" xfId="0" applyAlignment="1" applyFont="1" applyNumberFormat="1">
      <alignment readingOrder="0"/>
    </xf>
    <xf borderId="0" fillId="0" fontId="14" numFmtId="9" xfId="0" applyFont="1" applyNumberFormat="1"/>
    <xf borderId="0" fillId="0" fontId="14" numFmtId="9" xfId="0" applyAlignment="1" applyFont="1" applyNumberFormat="1">
      <alignment readingOrder="0"/>
    </xf>
    <xf borderId="0" fillId="0" fontId="14" numFmtId="165" xfId="0" applyAlignment="1" applyFont="1" applyNumberFormat="1">
      <alignment horizontal="left" readingOrder="0"/>
    </xf>
    <xf borderId="0" fillId="0" fontId="14" numFmtId="165" xfId="0" applyAlignment="1" applyFont="1" applyNumberFormat="1">
      <alignment horizontal="left"/>
    </xf>
    <xf borderId="0" fillId="0" fontId="13" numFmtId="0" xfId="0" applyAlignment="1" applyFont="1">
      <alignment horizontal="center" readingOrder="0"/>
    </xf>
    <xf borderId="0" fillId="0" fontId="14" numFmtId="0" xfId="0" applyFont="1"/>
    <xf borderId="0" fillId="3" fontId="14" numFmtId="0" xfId="0" applyFill="1" applyFont="1"/>
    <xf borderId="6" fillId="0" fontId="15" numFmtId="0" xfId="0" applyAlignment="1" applyBorder="1" applyFont="1">
      <alignment horizontal="left" readingOrder="0"/>
    </xf>
    <xf borderId="6" fillId="0" fontId="15" numFmtId="0" xfId="0" applyAlignment="1" applyBorder="1" applyFont="1">
      <alignment horizontal="right" readingOrder="0"/>
    </xf>
    <xf borderId="6" fillId="0" fontId="17" numFmtId="0" xfId="0" applyAlignment="1" applyBorder="1" applyFont="1">
      <alignment readingOrder="0"/>
    </xf>
    <xf borderId="6" fillId="0" fontId="17" numFmtId="3" xfId="0" applyAlignment="1" applyBorder="1" applyFont="1" applyNumberFormat="1">
      <alignment horizontal="right" readingOrder="0"/>
    </xf>
    <xf borderId="6" fillId="0" fontId="15" numFmtId="0" xfId="0" applyAlignment="1" applyBorder="1" applyFont="1">
      <alignment readingOrder="0"/>
    </xf>
    <xf borderId="6" fillId="0" fontId="15" numFmtId="3" xfId="0" applyAlignment="1" applyBorder="1" applyFont="1" applyNumberFormat="1">
      <alignment horizontal="right" readingOrder="0"/>
    </xf>
    <xf borderId="6" fillId="0" fontId="15" numFmtId="165" xfId="0" applyAlignment="1" applyBorder="1" applyFont="1" applyNumberFormat="1">
      <alignment horizontal="right"/>
    </xf>
    <xf borderId="6" fillId="0" fontId="15" numFmtId="166" xfId="0" applyAlignment="1" applyBorder="1" applyFont="1" applyNumberFormat="1">
      <alignment horizontal="right"/>
    </xf>
    <xf borderId="6" fillId="0" fontId="17" numFmtId="0" xfId="0" applyAlignment="1" applyBorder="1" applyFont="1">
      <alignment horizontal="right" readingOrder="0"/>
    </xf>
    <xf borderId="0" fillId="0" fontId="14" numFmtId="0" xfId="0" applyAlignment="1" applyFont="1">
      <alignment readingOrder="0"/>
    </xf>
    <xf borderId="0" fillId="0" fontId="14" numFmtId="3" xfId="0" applyAlignment="1" applyFont="1" applyNumberFormat="1">
      <alignment readingOrder="0"/>
    </xf>
    <xf borderId="0" fillId="0" fontId="14" numFmtId="10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Free Cash Flow by Year (Scenario 1 vs Scenario 2)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Sheet4!$C$1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Sheet4!$A$2:$A$8</c:f>
            </c:strRef>
          </c:cat>
          <c:val>
            <c:numRef>
              <c:f>Sheet4!$C$2:$C$8</c:f>
              <c:numCache/>
            </c:numRef>
          </c:val>
          <c:smooth val="0"/>
        </c:ser>
        <c:ser>
          <c:idx val="1"/>
          <c:order val="1"/>
          <c:tx>
            <c:strRef>
              <c:f>Sheet4!$B$1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Sheet4!$A$2:$A$8</c:f>
            </c:strRef>
          </c:cat>
          <c:val>
            <c:numRef>
              <c:f>Sheet4!$B$2:$B$8</c:f>
              <c:numCache/>
            </c:numRef>
          </c:val>
          <c:smooth val="0"/>
        </c:ser>
        <c:axId val="1588366637"/>
        <c:axId val="1323484410"/>
      </c:lineChart>
      <c:catAx>
        <c:axId val="1588366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3484410"/>
      </c:catAx>
      <c:valAx>
        <c:axId val="1323484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366637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Cumulative Free Cash Flow (Scenario 1 vs Scenario 2)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Sheet4!$F$1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Sheet4!$E$2:$E$8</c:f>
            </c:strRef>
          </c:cat>
          <c:val>
            <c:numRef>
              <c:f>Sheet4!$F$2:$F$8</c:f>
              <c:numCache/>
            </c:numRef>
          </c:val>
          <c:smooth val="0"/>
        </c:ser>
        <c:ser>
          <c:idx val="1"/>
          <c:order val="1"/>
          <c:tx>
            <c:strRef>
              <c:f>Sheet4!$G$1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Sheet4!$E$2:$E$8</c:f>
            </c:strRef>
          </c:cat>
          <c:val>
            <c:numRef>
              <c:f>Sheet4!$G$2:$G$8</c:f>
              <c:numCache/>
            </c:numRef>
          </c:val>
          <c:smooth val="0"/>
        </c:ser>
        <c:axId val="1412647797"/>
        <c:axId val="97669513"/>
      </c:lineChart>
      <c:catAx>
        <c:axId val="1412647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69513"/>
      </c:catAx>
      <c:valAx>
        <c:axId val="97669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647797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57150</xdr:rowOff>
    </xdr:from>
    <xdr:ext cx="5829300" cy="3648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47625</xdr:colOff>
      <xdr:row>0</xdr:row>
      <xdr:rowOff>57150</xdr:rowOff>
    </xdr:from>
    <xdr:ext cx="5829300" cy="3648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657225</xdr:colOff>
      <xdr:row>0</xdr:row>
      <xdr:rowOff>57150</xdr:rowOff>
    </xdr:from>
    <xdr:ext cx="5362575" cy="6296025"/>
    <xdr:grpSp>
      <xdr:nvGrpSpPr>
        <xdr:cNvPr id="2" name="Shape 2" title="Drawing"/>
        <xdr:cNvGrpSpPr/>
      </xdr:nvGrpSpPr>
      <xdr:grpSpPr>
        <a:xfrm>
          <a:off x="509525" y="520350"/>
          <a:ext cx="5343900" cy="6274500"/>
          <a:chOff x="509525" y="520350"/>
          <a:chExt cx="5343900" cy="6274500"/>
        </a:xfrm>
      </xdr:grpSpPr>
      <xdr:sp>
        <xdr:nvSpPr>
          <xdr:cNvPr id="3" name="Shape 3"/>
          <xdr:cNvSpPr/>
        </xdr:nvSpPr>
        <xdr:spPr>
          <a:xfrm>
            <a:off x="509525" y="520350"/>
            <a:ext cx="5343900" cy="6274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015675" y="728175"/>
            <a:ext cx="2331600" cy="410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Findings and Summary</a:t>
            </a:r>
            <a:endParaRPr b="1" sz="1400"/>
          </a:p>
        </xdr:txBody>
      </xdr:sp>
      <xdr:sp>
        <xdr:nvSpPr>
          <xdr:cNvPr id="5" name="Shape 5"/>
          <xdr:cNvSpPr txBox="1"/>
        </xdr:nvSpPr>
        <xdr:spPr>
          <a:xfrm>
            <a:off x="929850" y="1138575"/>
            <a:ext cx="4693500" cy="5293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100"/>
              <a:t>Scenario 1 </a:t>
            </a:r>
            <a:r>
              <a:rPr lang="en-US" sz="1100"/>
              <a:t>involves the expansion of manufacturing capacity through factory construction, while </a:t>
            </a:r>
            <a:r>
              <a:rPr b="1" lang="en-US" sz="1100"/>
              <a:t>Scenario 2</a:t>
            </a:r>
            <a:r>
              <a:rPr lang="en-US" sz="1100"/>
              <a:t> focuses on developing a digital product supported by intensive marketing. </a:t>
            </a:r>
            <a:r>
              <a:rPr b="1" lang="en-US" sz="1100"/>
              <a:t>The objective</a:t>
            </a:r>
            <a:r>
              <a:rPr lang="en-US" sz="1100"/>
              <a:t> of the analysis is to determine which investment option creates greater value for the company using standard capital-budgeting techniques.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Both scenarios are analyzed using a </a:t>
            </a:r>
            <a:r>
              <a:rPr b="1" lang="en-US" sz="1100"/>
              <a:t>nominal cash-flow framework</a:t>
            </a:r>
            <a:r>
              <a:rPr lang="en-US" sz="1100"/>
              <a:t>, with projected incremental revenues and costs derived from historical financial statements and stated project assumptions. The evaluation applies a </a:t>
            </a:r>
            <a:r>
              <a:rPr b="1" lang="en-US" sz="1100"/>
              <a:t>10% discount rate</a:t>
            </a:r>
            <a:r>
              <a:rPr lang="en-US" sz="1100"/>
              <a:t> and covers the period </a:t>
            </a:r>
            <a:r>
              <a:rPr b="1" lang="en-US" sz="1100"/>
              <a:t>2018–2024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Key performance indicators include </a:t>
            </a:r>
            <a:r>
              <a:rPr b="1" lang="en-US" sz="1100"/>
              <a:t>Net Present Value (NPV), Internal Rate of Return (IRR), Payback Period, Return on Investment (ROI), and Opportunity Cost</a:t>
            </a:r>
            <a:r>
              <a:rPr lang="en-US" sz="1100"/>
              <a:t>.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The results show that </a:t>
            </a:r>
            <a:r>
              <a:rPr b="1" lang="en-US" sz="1100"/>
              <a:t>Scenario 1 clearly outperforms Scenario 2</a:t>
            </a:r>
            <a:r>
              <a:rPr lang="en-US" sz="1100"/>
              <a:t>. The factory expansion generates a </a:t>
            </a:r>
            <a:r>
              <a:rPr b="1" lang="en-US" sz="1100"/>
              <a:t>positive NPV of approximately €0.85 million</a:t>
            </a:r>
            <a:r>
              <a:rPr lang="en-US" sz="1100"/>
              <a:t>, an </a:t>
            </a:r>
            <a:r>
              <a:rPr b="1" lang="en-US" sz="1100"/>
              <a:t>IRR of about 15.3%</a:t>
            </a:r>
            <a:r>
              <a:rPr lang="en-US" sz="1100"/>
              <a:t>, and a </a:t>
            </a:r>
            <a:r>
              <a:rPr b="1" lang="en-US" sz="1100"/>
              <a:t>payback period of roughly 4.5years</a:t>
            </a:r>
            <a:r>
              <a:rPr lang="en-US" sz="1100"/>
              <a:t>.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In contrast, Scenario 2 results in a </a:t>
            </a:r>
            <a:r>
              <a:rPr b="1" lang="en-US" sz="1100"/>
              <a:t>negative NPV of approximately €0.84 million</a:t>
            </a:r>
            <a:r>
              <a:rPr lang="en-US" sz="1100"/>
              <a:t>, an </a:t>
            </a:r>
            <a:r>
              <a:rPr b="1" lang="en-US" sz="1100"/>
              <a:t>IRR below the required return</a:t>
            </a:r>
            <a:r>
              <a:rPr lang="en-US" sz="1100"/>
              <a:t>, and a </a:t>
            </a:r>
            <a:r>
              <a:rPr b="1" lang="en-US" sz="1100"/>
              <a:t>longer payback period of about 5.35 years</a:t>
            </a:r>
            <a:r>
              <a:rPr lang="en-US" sz="1100"/>
              <a:t>, despite producing positive cumulative cash flows by the end of the evaluation horizon.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Based on the financial indicators and opportunity-cost analysis, Scenario 1 delivers superior value creation, faster capital recovery, and higher capital efficiency. Therefore, the analysis supports </a:t>
            </a:r>
            <a:r>
              <a:rPr b="1" lang="en-US" sz="1100"/>
              <a:t>investing in the manufacturing expansion rather than the digital product initiative</a:t>
            </a:r>
            <a:r>
              <a:rPr lang="en-US" sz="1100"/>
              <a:t>.</a:t>
            </a:r>
            <a:endParaRPr sz="1100"/>
          </a:p>
        </xdr:txBody>
      </xdr: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8.63"/>
    <col customWidth="1" min="3" max="8" width="13.38"/>
  </cols>
  <sheetData>
    <row r="1" ht="12.75" customHeight="1"/>
    <row r="2" ht="12.75" customHeight="1">
      <c r="D2" s="1" t="s">
        <v>0</v>
      </c>
      <c r="E2" s="1"/>
      <c r="G2" s="1" t="s">
        <v>1</v>
      </c>
    </row>
    <row r="3" ht="12.75" customHeight="1">
      <c r="B3" s="2" t="s">
        <v>2</v>
      </c>
      <c r="C3" s="3" t="s">
        <v>3</v>
      </c>
      <c r="D3" s="4"/>
      <c r="E3" s="5"/>
      <c r="F3" s="3" t="s">
        <v>3</v>
      </c>
      <c r="G3" s="4"/>
      <c r="H3" s="5"/>
    </row>
    <row r="4" ht="12.75" customHeight="1">
      <c r="B4" s="6"/>
      <c r="C4" s="7" t="s">
        <v>4</v>
      </c>
      <c r="D4" s="7">
        <v>2018.0</v>
      </c>
      <c r="E4" s="7">
        <v>2019.0</v>
      </c>
      <c r="F4" s="7" t="s">
        <v>4</v>
      </c>
      <c r="G4" s="7">
        <v>2018.0</v>
      </c>
      <c r="H4" s="7">
        <v>2019.0</v>
      </c>
    </row>
    <row r="5" ht="12.75" customHeight="1">
      <c r="B5" s="8" t="s">
        <v>5</v>
      </c>
      <c r="C5" s="9">
        <v>1528273.201112141</v>
      </c>
      <c r="D5" s="9">
        <f>C5*0.4</f>
        <v>611309.2804</v>
      </c>
      <c r="E5" s="9">
        <f>C5*0.6</f>
        <v>916963.9207</v>
      </c>
      <c r="F5" s="9">
        <v>0.0</v>
      </c>
      <c r="G5" s="9">
        <f>F5*0.4</f>
        <v>0</v>
      </c>
      <c r="H5" s="10">
        <f>F5*0.6</f>
        <v>0</v>
      </c>
    </row>
    <row r="6" ht="12.75" customHeight="1">
      <c r="B6" s="8" t="s">
        <v>6</v>
      </c>
      <c r="C6" s="9">
        <v>3000000.0</v>
      </c>
      <c r="D6" s="9"/>
      <c r="E6" s="9">
        <f>C6</f>
        <v>3000000</v>
      </c>
      <c r="F6" s="9"/>
      <c r="G6" s="9"/>
      <c r="H6" s="10"/>
    </row>
    <row r="7" ht="12.75" customHeight="1">
      <c r="B7" s="8" t="s">
        <v>7</v>
      </c>
      <c r="C7" s="9">
        <v>140000.0</v>
      </c>
      <c r="D7" s="9">
        <f>C7*0.4</f>
        <v>56000</v>
      </c>
      <c r="E7" s="9">
        <f>C7*0.6</f>
        <v>84000</v>
      </c>
      <c r="F7" s="9">
        <v>0.0</v>
      </c>
      <c r="G7" s="9">
        <f>F7*0.4</f>
        <v>0</v>
      </c>
      <c r="H7" s="10">
        <f>F7*0.6</f>
        <v>0</v>
      </c>
    </row>
    <row r="8" ht="12.75" customHeight="1">
      <c r="B8" s="8" t="s">
        <v>8</v>
      </c>
      <c r="C8" s="9">
        <v>750000.0</v>
      </c>
      <c r="D8" s="9">
        <f>C8*0.5</f>
        <v>375000</v>
      </c>
      <c r="E8" s="9">
        <f>D8</f>
        <v>375000</v>
      </c>
      <c r="F8" s="9">
        <v>8000000.0</v>
      </c>
      <c r="G8" s="9">
        <f>F8*0.5</f>
        <v>4000000</v>
      </c>
      <c r="H8" s="10">
        <f>G8</f>
        <v>4000000</v>
      </c>
    </row>
    <row r="9" ht="12.75" customHeight="1">
      <c r="B9" s="11" t="s">
        <v>9</v>
      </c>
      <c r="C9" s="12">
        <f t="shared" ref="C9:H9" si="1">SUM(C5:C8)</f>
        <v>5418273.201</v>
      </c>
      <c r="D9" s="12">
        <f t="shared" si="1"/>
        <v>1042309.28</v>
      </c>
      <c r="E9" s="12">
        <f t="shared" si="1"/>
        <v>4375963.921</v>
      </c>
      <c r="F9" s="12">
        <f t="shared" si="1"/>
        <v>8000000</v>
      </c>
      <c r="G9" s="12">
        <f t="shared" si="1"/>
        <v>4000000</v>
      </c>
      <c r="H9" s="13">
        <f t="shared" si="1"/>
        <v>4000000</v>
      </c>
    </row>
    <row r="10" ht="8.25" customHeight="1">
      <c r="B10" s="14"/>
      <c r="C10" s="15"/>
      <c r="D10" s="15"/>
      <c r="E10" s="16"/>
      <c r="F10" s="12"/>
      <c r="G10" s="12"/>
      <c r="H10" s="13"/>
    </row>
    <row r="11" ht="12.75" customHeight="1">
      <c r="B11" s="8" t="s">
        <v>10</v>
      </c>
      <c r="C11" s="17">
        <v>1200000.0</v>
      </c>
      <c r="D11" s="9">
        <f>C11-E11</f>
        <v>500000</v>
      </c>
      <c r="E11" s="9">
        <v>700000.0</v>
      </c>
      <c r="F11" s="9">
        <v>0.0</v>
      </c>
      <c r="G11" s="9">
        <v>0.0</v>
      </c>
      <c r="H11" s="10">
        <v>0.0</v>
      </c>
    </row>
    <row r="12" ht="12.75" customHeight="1">
      <c r="B12" s="8" t="s">
        <v>11</v>
      </c>
      <c r="C12" s="17">
        <f t="shared" ref="C12:H12" si="2">C9-C11-C13</f>
        <v>2718273.201</v>
      </c>
      <c r="D12" s="9">
        <f t="shared" si="2"/>
        <v>92309.28044</v>
      </c>
      <c r="E12" s="9">
        <f t="shared" si="2"/>
        <v>2625963.921</v>
      </c>
      <c r="F12" s="9">
        <f t="shared" si="2"/>
        <v>8000000</v>
      </c>
      <c r="G12" s="9">
        <f t="shared" si="2"/>
        <v>4000000</v>
      </c>
      <c r="H12" s="10">
        <f t="shared" si="2"/>
        <v>4000000</v>
      </c>
    </row>
    <row r="13" ht="12.75" customHeight="1">
      <c r="B13" s="8" t="s">
        <v>12</v>
      </c>
      <c r="C13" s="17">
        <v>1500000.0</v>
      </c>
      <c r="D13" s="9">
        <f>C13*0.3</f>
        <v>450000</v>
      </c>
      <c r="E13" s="9">
        <f>C13-D13</f>
        <v>1050000</v>
      </c>
      <c r="F13" s="9">
        <v>0.0</v>
      </c>
      <c r="G13" s="9">
        <f>F13*0.4</f>
        <v>0</v>
      </c>
      <c r="H13" s="10">
        <f>F13*0.6</f>
        <v>0</v>
      </c>
    </row>
    <row r="14" ht="12.75" customHeight="1">
      <c r="B14" s="18" t="s">
        <v>13</v>
      </c>
      <c r="C14" s="19">
        <f t="shared" ref="C14:H14" si="3">SUM(C11:C13)</f>
        <v>5418273.201</v>
      </c>
      <c r="D14" s="19">
        <f t="shared" si="3"/>
        <v>1042309.28</v>
      </c>
      <c r="E14" s="19">
        <f t="shared" si="3"/>
        <v>4375963.921</v>
      </c>
      <c r="F14" s="20">
        <f t="shared" si="3"/>
        <v>8000000</v>
      </c>
      <c r="G14" s="20">
        <f t="shared" si="3"/>
        <v>4000000</v>
      </c>
      <c r="H14" s="21">
        <f t="shared" si="3"/>
        <v>4000000</v>
      </c>
    </row>
    <row r="15" ht="12.75" customHeight="1">
      <c r="C15" s="22">
        <f t="shared" ref="C15:H15" si="4">C14-C9</f>
        <v>0</v>
      </c>
      <c r="D15" s="22">
        <f t="shared" si="4"/>
        <v>0</v>
      </c>
      <c r="E15" s="22">
        <f t="shared" si="4"/>
        <v>0</v>
      </c>
      <c r="F15" s="22">
        <f t="shared" si="4"/>
        <v>0</v>
      </c>
      <c r="G15" s="22">
        <f t="shared" si="4"/>
        <v>0</v>
      </c>
      <c r="H15" s="22">
        <f t="shared" si="4"/>
        <v>0</v>
      </c>
    </row>
    <row r="16" ht="12.75" customHeight="1"/>
    <row r="17" ht="12.75" customHeight="1">
      <c r="B17" s="1" t="s">
        <v>14</v>
      </c>
    </row>
    <row r="18" ht="12.75" customHeight="1">
      <c r="B18" s="23" t="s">
        <v>15</v>
      </c>
    </row>
    <row r="19" ht="12.75" customHeight="1">
      <c r="B19" s="24" t="s">
        <v>16</v>
      </c>
    </row>
    <row r="20" ht="12.75" customHeight="1">
      <c r="B20" s="24" t="s">
        <v>17</v>
      </c>
    </row>
    <row r="21" ht="12.75" customHeight="1"/>
    <row r="22" ht="12.75" customHeight="1">
      <c r="B22" s="23" t="s">
        <v>18</v>
      </c>
    </row>
    <row r="23" ht="12.75" customHeight="1">
      <c r="B23" s="24" t="s">
        <v>19</v>
      </c>
    </row>
    <row r="24" ht="12.75" customHeight="1">
      <c r="B24" s="25" t="s">
        <v>20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3:E3"/>
    <mergeCell ref="F3:H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2.75"/>
    <col customWidth="1" min="2" max="2" width="5.88"/>
    <col customWidth="1" min="3" max="3" width="43.13"/>
    <col customWidth="1" min="4" max="5" width="11.13"/>
    <col customWidth="1" min="6" max="25" width="11.0"/>
  </cols>
  <sheetData>
    <row r="1" ht="13.5" customHeight="1">
      <c r="A1" s="26"/>
      <c r="B1" s="26"/>
      <c r="C1" s="26"/>
      <c r="D1" s="27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ht="12.75" customHeight="1">
      <c r="A2" s="24"/>
      <c r="B2" s="24"/>
      <c r="C2" s="28" t="s">
        <v>21</v>
      </c>
      <c r="D2" s="29"/>
      <c r="E2" s="29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ht="12.75" customHeight="1">
      <c r="A3" s="24"/>
      <c r="B3" s="30"/>
      <c r="C3" s="31" t="s">
        <v>22</v>
      </c>
      <c r="D3" s="32">
        <v>2016.0</v>
      </c>
      <c r="E3" s="32">
        <v>2017.0</v>
      </c>
      <c r="F3" s="33"/>
      <c r="G3" s="25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ht="29.25" customHeight="1">
      <c r="A4" s="24"/>
      <c r="D4" s="34"/>
      <c r="E4" s="34"/>
      <c r="F4" s="3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ht="17.25" customHeight="1">
      <c r="A5" s="35"/>
      <c r="B5" s="36" t="s">
        <v>23</v>
      </c>
      <c r="C5" s="36" t="s">
        <v>24</v>
      </c>
      <c r="D5" s="37">
        <v>2714177.4791473583</v>
      </c>
      <c r="E5" s="37">
        <v>4414253.649212234</v>
      </c>
      <c r="F5" s="37"/>
      <c r="G5" s="37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17.25" customHeight="1">
      <c r="A6" s="35"/>
      <c r="B6" s="36" t="s">
        <v>25</v>
      </c>
      <c r="C6" s="36" t="s">
        <v>26</v>
      </c>
      <c r="D6" s="37">
        <v>998289.5375347545</v>
      </c>
      <c r="E6" s="37">
        <v>1121942.481464319</v>
      </c>
      <c r="F6" s="37"/>
      <c r="G6" s="37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ht="17.25" customHeight="1">
      <c r="A7" s="35"/>
      <c r="B7" s="36"/>
      <c r="C7" s="38" t="s">
        <v>27</v>
      </c>
      <c r="D7" s="39"/>
      <c r="E7" s="40">
        <f>E6/E5</f>
        <v>0.2541635734</v>
      </c>
      <c r="F7" s="37"/>
      <c r="G7" s="37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ht="12.75" customHeight="1">
      <c r="A8" s="24"/>
      <c r="B8" s="24"/>
      <c r="C8" s="41" t="s">
        <v>28</v>
      </c>
      <c r="D8" s="42">
        <v>0.0</v>
      </c>
      <c r="E8" s="42">
        <v>0.0</v>
      </c>
      <c r="F8" s="42"/>
      <c r="G8" s="42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ht="12.75" customHeight="1">
      <c r="A9" s="24"/>
      <c r="B9" s="24"/>
      <c r="C9" s="41" t="s">
        <v>29</v>
      </c>
      <c r="D9" s="42">
        <v>992551.5523632994</v>
      </c>
      <c r="E9" s="42">
        <v>1076892.6668211308</v>
      </c>
      <c r="F9" s="42"/>
      <c r="G9" s="42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ht="12.75" customHeight="1">
      <c r="A10" s="24"/>
      <c r="B10" s="24"/>
      <c r="C10" s="41" t="s">
        <v>30</v>
      </c>
      <c r="D10" s="42"/>
      <c r="E10" s="42"/>
      <c r="F10" s="42"/>
      <c r="G10" s="42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ht="12.75" customHeight="1">
      <c r="A11" s="24"/>
      <c r="B11" s="24"/>
      <c r="C11" s="41" t="s">
        <v>31</v>
      </c>
      <c r="D11" s="43"/>
      <c r="E11" s="43"/>
      <c r="F11" s="43"/>
      <c r="G11" s="43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ht="12.75" customHeight="1">
      <c r="A12" s="24"/>
      <c r="B12" s="24"/>
      <c r="C12" s="41" t="s">
        <v>32</v>
      </c>
      <c r="D12" s="42">
        <v>5737.985171455075</v>
      </c>
      <c r="E12" s="42">
        <v>45049.81464318815</v>
      </c>
      <c r="F12" s="42"/>
      <c r="G12" s="42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ht="17.25" customHeight="1">
      <c r="A13" s="35"/>
      <c r="B13" s="36" t="s">
        <v>33</v>
      </c>
      <c r="C13" s="36" t="s">
        <v>34</v>
      </c>
      <c r="D13" s="44">
        <f t="shared" ref="D13:E13" si="1">SUM(D5-D6)</f>
        <v>1715887.942</v>
      </c>
      <c r="E13" s="44">
        <f t="shared" si="1"/>
        <v>3292311.168</v>
      </c>
      <c r="F13" s="44"/>
      <c r="G13" s="44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17.25" customHeight="1">
      <c r="A14" s="35"/>
      <c r="B14" s="36" t="s">
        <v>35</v>
      </c>
      <c r="C14" s="36" t="s">
        <v>36</v>
      </c>
      <c r="D14" s="37">
        <f t="shared" ref="D14:E14" si="2">SUM(D15,D20)</f>
        <v>1367820.069</v>
      </c>
      <c r="E14" s="37">
        <f t="shared" si="2"/>
        <v>2932586.307</v>
      </c>
      <c r="F14" s="37"/>
      <c r="G14" s="37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17.25" customHeight="1">
      <c r="A15" s="26"/>
      <c r="B15" s="45" t="s">
        <v>37</v>
      </c>
      <c r="C15" s="45" t="s">
        <v>38</v>
      </c>
      <c r="D15" s="46">
        <v>726794.1960148286</v>
      </c>
      <c r="E15" s="46">
        <f>sum(E18:E19)</f>
        <v>534191.7178</v>
      </c>
      <c r="F15" s="46"/>
      <c r="G15" s="4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ht="12.75" customHeight="1">
      <c r="A16" s="24"/>
      <c r="B16" s="24"/>
      <c r="C16" s="41" t="s">
        <v>28</v>
      </c>
      <c r="D16" s="42"/>
      <c r="E16" s="42"/>
      <c r="F16" s="42"/>
      <c r="G16" s="42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ht="12.75" customHeight="1">
      <c r="A17" s="24"/>
      <c r="B17" s="24"/>
      <c r="C17" s="41" t="s">
        <v>30</v>
      </c>
      <c r="D17" s="42"/>
      <c r="E17" s="42"/>
      <c r="F17" s="42"/>
      <c r="G17" s="42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ht="12.75" customHeight="1">
      <c r="A18" s="24"/>
      <c r="B18" s="24"/>
      <c r="C18" s="47" t="s">
        <v>39</v>
      </c>
      <c r="D18" s="42">
        <v>352544.0</v>
      </c>
      <c r="E18" s="42">
        <v>523344.0</v>
      </c>
      <c r="F18" s="42"/>
      <c r="G18" s="42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ht="12.75" customHeight="1">
      <c r="A19" s="24"/>
      <c r="B19" s="24"/>
      <c r="C19" s="41" t="s">
        <v>32</v>
      </c>
      <c r="D19" s="42">
        <v>374250.19601482863</v>
      </c>
      <c r="E19" s="42">
        <v>10847.717794253938</v>
      </c>
      <c r="F19" s="42"/>
      <c r="G19" s="42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ht="17.25" customHeight="1">
      <c r="A20" s="26"/>
      <c r="B20" s="45" t="s">
        <v>40</v>
      </c>
      <c r="C20" s="45" t="s">
        <v>41</v>
      </c>
      <c r="D20" s="46">
        <f t="shared" ref="D20:E20" si="3">SUM(D21:D24)</f>
        <v>641025.873</v>
      </c>
      <c r="E20" s="46">
        <f t="shared" si="3"/>
        <v>2398394.589</v>
      </c>
      <c r="F20" s="46"/>
      <c r="G20" s="4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ht="12.75" customHeight="1">
      <c r="A21" s="24"/>
      <c r="B21" s="24"/>
      <c r="C21" s="41" t="s">
        <v>28</v>
      </c>
      <c r="D21" s="42">
        <v>140511.1793327155</v>
      </c>
      <c r="E21" s="42">
        <v>203121.8141797961</v>
      </c>
      <c r="F21" s="42"/>
      <c r="G21" s="42"/>
      <c r="H21" s="25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ht="12.75" customHeight="1">
      <c r="A22" s="24"/>
      <c r="B22" s="24"/>
      <c r="C22" s="41" t="s">
        <v>30</v>
      </c>
      <c r="D22" s="42">
        <v>499966.69369786844</v>
      </c>
      <c r="E22" s="42">
        <v>1368507.0088044486</v>
      </c>
      <c r="F22" s="42"/>
      <c r="G22" s="42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ht="12.75" customHeight="1">
      <c r="A23" s="24"/>
      <c r="B23" s="24"/>
      <c r="C23" s="41" t="s">
        <v>42</v>
      </c>
      <c r="D23" s="42"/>
      <c r="E23" s="42"/>
      <c r="F23" s="42"/>
      <c r="G23" s="42"/>
      <c r="H23" s="25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ht="12.75" customHeight="1">
      <c r="A24" s="24"/>
      <c r="B24" s="24"/>
      <c r="C24" s="41" t="s">
        <v>32</v>
      </c>
      <c r="D24" s="42">
        <v>548.0000000001164</v>
      </c>
      <c r="E24" s="42">
        <v>826765.76598702</v>
      </c>
      <c r="F24" s="42"/>
      <c r="G24" s="42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ht="17.25" customHeight="1">
      <c r="A25" s="35"/>
      <c r="B25" s="36" t="s">
        <v>43</v>
      </c>
      <c r="C25" s="48" t="s">
        <v>44</v>
      </c>
      <c r="D25" s="44">
        <f t="shared" ref="D25:E25" si="4">SUM(D13-D14)</f>
        <v>348067.8726</v>
      </c>
      <c r="E25" s="44">
        <f t="shared" si="4"/>
        <v>359724.861</v>
      </c>
      <c r="F25" s="44"/>
      <c r="G25" s="44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7.25" customHeight="1">
      <c r="A26" s="35"/>
      <c r="B26" s="36" t="s">
        <v>45</v>
      </c>
      <c r="C26" s="36" t="s">
        <v>46</v>
      </c>
      <c r="D26" s="37">
        <f t="shared" ref="D26:E26" si="5">SUM(D27-D28)</f>
        <v>4344.300278</v>
      </c>
      <c r="E26" s="37">
        <f t="shared" si="5"/>
        <v>89548.19277</v>
      </c>
      <c r="F26" s="37"/>
      <c r="G26" s="37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7.25" customHeight="1">
      <c r="A27" s="26"/>
      <c r="B27" s="45" t="s">
        <v>47</v>
      </c>
      <c r="C27" s="45" t="s">
        <v>48</v>
      </c>
      <c r="D27" s="46">
        <f>15000/3.4528</f>
        <v>4344.300278</v>
      </c>
      <c r="E27" s="46">
        <f>309192/3.4528</f>
        <v>89548.19277</v>
      </c>
      <c r="F27" s="46"/>
      <c r="G27" s="4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ht="17.25" customHeight="1">
      <c r="A28" s="26"/>
      <c r="B28" s="45" t="s">
        <v>49</v>
      </c>
      <c r="C28" s="45" t="s">
        <v>50</v>
      </c>
      <c r="D28" s="46">
        <v>0.0</v>
      </c>
      <c r="E28" s="46">
        <v>0.0</v>
      </c>
      <c r="F28" s="46"/>
      <c r="G28" s="4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ht="17.25" customHeight="1">
      <c r="A29" s="35"/>
      <c r="B29" s="36" t="s">
        <v>51</v>
      </c>
      <c r="C29" s="36" t="s">
        <v>52</v>
      </c>
      <c r="D29" s="37">
        <f t="shared" ref="D29:E29" si="6">SUM(D30-D31)</f>
        <v>-9701.112141</v>
      </c>
      <c r="E29" s="37">
        <f t="shared" si="6"/>
        <v>-21799.11956</v>
      </c>
      <c r="F29" s="37"/>
      <c r="G29" s="37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7.25" customHeight="1">
      <c r="A30" s="26"/>
      <c r="B30" s="45" t="s">
        <v>53</v>
      </c>
      <c r="C30" s="45" t="s">
        <v>48</v>
      </c>
      <c r="D30" s="46">
        <f>11633/3.4528</f>
        <v>3369.149676</v>
      </c>
      <c r="E30" s="46">
        <f>9444/3.4528</f>
        <v>2735.171455</v>
      </c>
      <c r="F30" s="46"/>
      <c r="G30" s="4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ht="17.25" customHeight="1">
      <c r="A31" s="26"/>
      <c r="B31" s="45" t="s">
        <v>54</v>
      </c>
      <c r="C31" s="45" t="s">
        <v>50</v>
      </c>
      <c r="D31" s="46">
        <f>45129/3.4528</f>
        <v>13070.26182</v>
      </c>
      <c r="E31" s="46">
        <f>84712/3.4528</f>
        <v>24534.29101</v>
      </c>
      <c r="F31" s="46"/>
      <c r="G31" s="4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ht="17.25" customHeight="1">
      <c r="A32" s="35"/>
      <c r="B32" s="36" t="s">
        <v>55</v>
      </c>
      <c r="C32" s="36" t="s">
        <v>56</v>
      </c>
      <c r="D32" s="44"/>
      <c r="E32" s="44"/>
      <c r="F32" s="44"/>
      <c r="G32" s="44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7.25" customHeight="1">
      <c r="A33" s="35"/>
      <c r="B33" s="36" t="s">
        <v>57</v>
      </c>
      <c r="C33" s="36" t="s">
        <v>58</v>
      </c>
      <c r="D33" s="44">
        <v>342711.06070435507</v>
      </c>
      <c r="E33" s="44">
        <v>427473.9341983369</v>
      </c>
      <c r="F33" s="44"/>
      <c r="G33" s="44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7.25" customHeight="1">
      <c r="A34" s="35"/>
      <c r="B34" s="36" t="s">
        <v>59</v>
      </c>
      <c r="C34" s="36" t="s">
        <v>60</v>
      </c>
      <c r="D34" s="37">
        <v>54291.01019462466</v>
      </c>
      <c r="E34" s="37">
        <v>62089.608433734946</v>
      </c>
      <c r="F34" s="37"/>
      <c r="G34" s="37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17.25" customHeight="1">
      <c r="A35" s="35"/>
      <c r="B35" s="36"/>
      <c r="C35" s="49" t="s">
        <v>61</v>
      </c>
      <c r="D35" s="50">
        <f t="shared" ref="D35:E35" si="7">D34/D33</f>
        <v>0.1584162766</v>
      </c>
      <c r="E35" s="50">
        <f t="shared" si="7"/>
        <v>0.1452477063</v>
      </c>
      <c r="F35" s="51"/>
      <c r="G35" s="51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7.25" customHeight="1">
      <c r="A36" s="35"/>
      <c r="B36" s="36" t="s">
        <v>62</v>
      </c>
      <c r="C36" s="36" t="s">
        <v>63</v>
      </c>
      <c r="D36" s="37">
        <v>288420.0505097304</v>
      </c>
      <c r="E36" s="37">
        <v>365384.32576460193</v>
      </c>
      <c r="F36" s="37"/>
      <c r="G36" s="37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2.75" customHeight="1">
      <c r="A37" s="26"/>
      <c r="B37" s="26"/>
      <c r="C37" s="26"/>
      <c r="D37" s="52"/>
      <c r="E37" s="52"/>
      <c r="F37" s="52"/>
      <c r="G37" s="52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ht="12.75" customHeight="1">
      <c r="A38" s="26"/>
      <c r="B38" s="26"/>
      <c r="C38" s="26"/>
      <c r="D38" s="27">
        <v>0.0</v>
      </c>
      <c r="E38" s="27">
        <v>0.0</v>
      </c>
      <c r="F38" s="27"/>
      <c r="G38" s="27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ht="12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ht="12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ht="12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ht="12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ht="12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ht="12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ht="12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ht="12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ht="12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ht="12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ht="12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ht="12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ht="12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ht="12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ht="12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ht="12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ht="12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ht="12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ht="12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ht="12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ht="12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ht="12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ht="12.75" customHeight="1">
      <c r="A61" s="27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ht="12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ht="12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ht="12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ht="12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ht="12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ht="12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ht="12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ht="12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ht="12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ht="12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ht="12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ht="12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ht="12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ht="12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ht="12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ht="12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ht="12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ht="12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ht="12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ht="12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ht="12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ht="12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ht="12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ht="12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ht="12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ht="12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ht="12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ht="12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ht="12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ht="12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ht="12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ht="12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ht="12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ht="12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ht="12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ht="12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ht="12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ht="12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ht="12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ht="12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ht="12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ht="12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ht="12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ht="12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ht="12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ht="12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ht="12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ht="12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ht="12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ht="12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ht="12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ht="12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ht="12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ht="12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ht="12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ht="12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ht="12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ht="12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ht="12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ht="12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ht="12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ht="12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ht="12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ht="12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ht="12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ht="12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ht="12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ht="12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ht="12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ht="12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ht="12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ht="12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ht="12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ht="12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ht="12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ht="12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ht="12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ht="12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ht="12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ht="12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ht="12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ht="12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ht="12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ht="12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ht="12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ht="12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ht="12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ht="12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ht="12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ht="12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ht="12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ht="12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ht="12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ht="12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ht="12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ht="12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ht="12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ht="12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ht="12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ht="12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ht="12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ht="12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ht="12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ht="12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ht="12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ht="12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ht="12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ht="12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ht="12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ht="12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ht="12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ht="12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ht="12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ht="12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ht="12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ht="12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ht="12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ht="12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ht="12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ht="12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ht="12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ht="12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ht="12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ht="12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ht="12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ht="12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ht="12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ht="12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ht="12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ht="12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ht="12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ht="12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ht="12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ht="12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ht="12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ht="12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ht="12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ht="12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ht="12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ht="12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ht="12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ht="12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ht="12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ht="12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ht="12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ht="12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ht="12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ht="12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ht="12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ht="12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ht="12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ht="12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ht="12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ht="12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ht="12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ht="12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ht="12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ht="12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ht="12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ht="12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ht="12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ht="12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ht="12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ht="12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ht="12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ht="12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ht="12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ht="12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ht="12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ht="12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ht="12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ht="12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ht="12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ht="12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ht="12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ht="12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ht="12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2:E2"/>
    <mergeCell ref="B3:B4"/>
    <mergeCell ref="C3:C4"/>
    <mergeCell ref="D3:D4"/>
    <mergeCell ref="E3:E4"/>
    <mergeCell ref="F3:F4"/>
    <mergeCell ref="G3:G4"/>
  </mergeCells>
  <printOptions/>
  <pageMargins bottom="0.52" footer="0.0" header="0.0" left="0.57" right="0.31" top="0.4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72.88"/>
    <col customWidth="1" min="3" max="4" width="10.0"/>
    <col customWidth="1" min="5" max="6" width="9.13"/>
    <col customWidth="1" min="7" max="24" width="8.63"/>
  </cols>
  <sheetData>
    <row r="1" ht="12.7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ht="12.75" customHeigh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ht="12.75" customHeight="1">
      <c r="A3" s="24"/>
      <c r="B3" s="2" t="s">
        <v>22</v>
      </c>
      <c r="C3" s="3" t="s">
        <v>64</v>
      </c>
      <c r="D3" s="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ht="12.75" customHeight="1">
      <c r="A4" s="24"/>
      <c r="B4" s="6"/>
      <c r="C4" s="53">
        <v>2016.0</v>
      </c>
      <c r="D4" s="53">
        <v>2017.0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ht="12.75" customHeight="1">
      <c r="A5" s="24"/>
      <c r="B5" s="54" t="s">
        <v>65</v>
      </c>
      <c r="C5" s="55">
        <v>1321426.9578313255</v>
      </c>
      <c r="D5" s="55">
        <v>1249622.9147358667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ht="12.75" customHeight="1">
      <c r="A6" s="24"/>
      <c r="B6" s="56" t="s">
        <v>66</v>
      </c>
      <c r="C6" s="55">
        <v>1345.5746061167752</v>
      </c>
      <c r="D6" s="55">
        <v>1572.636700648749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ht="12.75" customHeight="1">
      <c r="A7" s="24"/>
      <c r="B7" s="57" t="s">
        <v>67</v>
      </c>
      <c r="C7" s="58">
        <v>0.0</v>
      </c>
      <c r="D7" s="58">
        <v>0.0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ht="12.75" customHeight="1">
      <c r="A8" s="24"/>
      <c r="B8" s="59" t="s">
        <v>68</v>
      </c>
      <c r="C8" s="60">
        <v>0.0</v>
      </c>
      <c r="D8" s="60">
        <v>0.0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ht="12.75" customHeight="1">
      <c r="A9" s="24"/>
      <c r="B9" s="61" t="s">
        <v>69</v>
      </c>
      <c r="C9" s="62">
        <v>1345.5746061167752</v>
      </c>
      <c r="D9" s="62">
        <v>1572.636700648749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ht="12.75" customHeight="1">
      <c r="A10" s="24"/>
      <c r="B10" s="63" t="s">
        <v>70</v>
      </c>
      <c r="C10" s="55">
        <v>1184828.8345690456</v>
      </c>
      <c r="D10" s="55">
        <v>1098769.983781279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ht="12.75" customHeight="1">
      <c r="A11" s="24"/>
      <c r="B11" s="64" t="s">
        <v>71</v>
      </c>
      <c r="C11" s="58">
        <v>0.0</v>
      </c>
      <c r="D11" s="58">
        <v>0.0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ht="12.75" customHeight="1">
      <c r="A12" s="24"/>
      <c r="B12" s="65" t="s">
        <v>72</v>
      </c>
      <c r="C12" s="66">
        <v>728233.607506951</v>
      </c>
      <c r="D12" s="66">
        <v>585547.3818350325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ht="12.75" customHeight="1">
      <c r="A13" s="24"/>
      <c r="B13" s="65" t="s">
        <v>73</v>
      </c>
      <c r="C13" s="66">
        <v>323297.0342910102</v>
      </c>
      <c r="D13" s="66">
        <v>222930.95458758113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ht="12.75" customHeight="1">
      <c r="A14" s="24"/>
      <c r="B14" s="65" t="s">
        <v>74</v>
      </c>
      <c r="C14" s="66">
        <v>130161.31835032438</v>
      </c>
      <c r="D14" s="66">
        <v>249225.55607043562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ht="12.75" customHeight="1">
      <c r="A15" s="24"/>
      <c r="B15" s="65" t="s">
        <v>75</v>
      </c>
      <c r="C15" s="66">
        <v>3136.8744207599634</v>
      </c>
      <c r="D15" s="66">
        <v>41066.09128822984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ht="12.75" customHeight="1">
      <c r="A16" s="24"/>
      <c r="B16" s="61" t="s">
        <v>76</v>
      </c>
      <c r="C16" s="62">
        <v>0.0</v>
      </c>
      <c r="D16" s="62">
        <v>0.0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ht="12.75" customHeight="1">
      <c r="A17" s="24"/>
      <c r="B17" s="63" t="s">
        <v>77</v>
      </c>
      <c r="C17" s="55">
        <v>135252.54865616313</v>
      </c>
      <c r="D17" s="55">
        <v>149280.29425393883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ht="12.75" customHeight="1">
      <c r="A18" s="24"/>
      <c r="B18" s="56" t="s">
        <v>78</v>
      </c>
      <c r="C18" s="55">
        <v>0.0</v>
      </c>
      <c r="D18" s="55">
        <v>0.0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ht="7.5" customHeight="1">
      <c r="A19" s="24"/>
      <c r="B19" s="54"/>
      <c r="C19" s="55"/>
      <c r="D19" s="55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ht="12.75" customHeight="1">
      <c r="A20" s="24"/>
      <c r="B20" s="54" t="s">
        <v>79</v>
      </c>
      <c r="C20" s="55">
        <v>416804.62233549583</v>
      </c>
      <c r="D20" s="55">
        <v>520089.4925857276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ht="12.75" customHeight="1">
      <c r="A21" s="24"/>
      <c r="B21" s="56" t="s">
        <v>80</v>
      </c>
      <c r="C21" s="55">
        <v>162812.5</v>
      </c>
      <c r="D21" s="55">
        <v>187468.72103799816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ht="12.75" customHeight="1">
      <c r="A22" s="24"/>
      <c r="B22" s="57" t="s">
        <v>81</v>
      </c>
      <c r="C22" s="58">
        <v>45580.10889712697</v>
      </c>
      <c r="D22" s="58">
        <v>29898.632993512514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ht="12.75" customHeight="1">
      <c r="A23" s="24"/>
      <c r="B23" s="65" t="s">
        <v>82</v>
      </c>
      <c r="C23" s="66">
        <v>0.0</v>
      </c>
      <c r="D23" s="66">
        <v>0.0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ht="12.75" customHeight="1">
      <c r="A24" s="24"/>
      <c r="B24" s="65" t="s">
        <v>83</v>
      </c>
      <c r="C24" s="66">
        <v>0.0</v>
      </c>
      <c r="D24" s="66">
        <v>0.0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ht="12.75" customHeight="1">
      <c r="A25" s="24"/>
      <c r="B25" s="65" t="s">
        <v>84</v>
      </c>
      <c r="C25" s="66">
        <v>0.0</v>
      </c>
      <c r="D25" s="66">
        <v>0.0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ht="12.75" customHeight="1">
      <c r="A26" s="24"/>
      <c r="B26" s="61" t="s">
        <v>85</v>
      </c>
      <c r="C26" s="62">
        <v>117232.39110287304</v>
      </c>
      <c r="D26" s="62">
        <v>157570.08804448563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ht="12.75" customHeight="1">
      <c r="A27" s="24"/>
      <c r="B27" s="56" t="s">
        <v>86</v>
      </c>
      <c r="C27" s="55">
        <v>68365.09499536609</v>
      </c>
      <c r="D27" s="55">
        <v>152062.96339202966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ht="12.75" customHeight="1">
      <c r="A28" s="24"/>
      <c r="B28" s="57" t="s">
        <v>87</v>
      </c>
      <c r="C28" s="58">
        <v>59868.80213160334</v>
      </c>
      <c r="D28" s="58">
        <v>131712.81278962002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ht="12.75" customHeight="1">
      <c r="A29" s="24"/>
      <c r="B29" s="61" t="s">
        <v>88</v>
      </c>
      <c r="C29" s="62">
        <v>8496.292863762743</v>
      </c>
      <c r="D29" s="62">
        <v>20350.150602409638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ht="12.75" customHeight="1">
      <c r="A30" s="24"/>
      <c r="B30" s="56" t="s">
        <v>89</v>
      </c>
      <c r="C30" s="55">
        <v>0.0</v>
      </c>
      <c r="D30" s="55">
        <v>0.0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ht="12.75" customHeight="1">
      <c r="A31" s="24"/>
      <c r="B31" s="56" t="s">
        <v>90</v>
      </c>
      <c r="C31" s="55">
        <v>185627.02734012975</v>
      </c>
      <c r="D31" s="55">
        <v>180557.80815569972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ht="12.75" customHeight="1">
      <c r="A32" s="24"/>
      <c r="B32" s="67" t="s">
        <v>91</v>
      </c>
      <c r="C32" s="68">
        <v>1738231.5801668214</v>
      </c>
      <c r="D32" s="68">
        <v>1769712.4073215942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ht="9.0" customHeight="1">
      <c r="A33" s="24"/>
      <c r="B33" s="24"/>
      <c r="C33" s="69"/>
      <c r="D33" s="69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ht="12.75" customHeight="1">
      <c r="A34" s="24"/>
      <c r="B34" s="70" t="s">
        <v>92</v>
      </c>
      <c r="C34" s="71">
        <v>456358.8971269694</v>
      </c>
      <c r="D34" s="71">
        <v>821743.2228915663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ht="12.75" customHeight="1">
      <c r="A35" s="24"/>
      <c r="B35" s="56" t="s">
        <v>93</v>
      </c>
      <c r="C35" s="55">
        <v>2896.200185356812</v>
      </c>
      <c r="D35" s="55">
        <v>2896.200185356812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ht="12.75" customHeight="1">
      <c r="A36" s="24"/>
      <c r="B36" s="57" t="s">
        <v>94</v>
      </c>
      <c r="C36" s="58">
        <v>2896.200185356812</v>
      </c>
      <c r="D36" s="58">
        <v>2896.200185356812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ht="12.75" customHeight="1">
      <c r="A37" s="24"/>
      <c r="B37" s="65" t="s">
        <v>95</v>
      </c>
      <c r="C37" s="66">
        <v>0.0</v>
      </c>
      <c r="D37" s="66">
        <v>0.0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ht="12.75" customHeight="1">
      <c r="A38" s="24"/>
      <c r="B38" s="61" t="s">
        <v>85</v>
      </c>
      <c r="C38" s="62">
        <v>0.0</v>
      </c>
      <c r="D38" s="62">
        <v>0.0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ht="12.75" customHeight="1">
      <c r="A39" s="24"/>
      <c r="B39" s="56" t="s">
        <v>96</v>
      </c>
      <c r="C39" s="55">
        <v>0.0</v>
      </c>
      <c r="D39" s="55">
        <v>0.0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ht="12.75" customHeight="1">
      <c r="A40" s="24"/>
      <c r="B40" s="56" t="s">
        <v>97</v>
      </c>
      <c r="C40" s="55">
        <v>289.6200185356812</v>
      </c>
      <c r="D40" s="55">
        <v>289.6200185356812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ht="12.75" customHeight="1">
      <c r="A41" s="24"/>
      <c r="B41" s="57" t="s">
        <v>98</v>
      </c>
      <c r="C41" s="58">
        <v>289.6200185356812</v>
      </c>
      <c r="D41" s="58">
        <v>289.6200185356812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ht="12.75" customHeight="1">
      <c r="A42" s="24"/>
      <c r="B42" s="72" t="s">
        <v>85</v>
      </c>
      <c r="C42" s="62">
        <v>0.0</v>
      </c>
      <c r="D42" s="62">
        <v>0.0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ht="12.75" customHeight="1">
      <c r="A43" s="24"/>
      <c r="B43" s="56" t="s">
        <v>99</v>
      </c>
      <c r="C43" s="55">
        <v>453173.07692307694</v>
      </c>
      <c r="D43" s="55">
        <v>818557.4026876738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ht="12.75" customHeight="1">
      <c r="A44" s="24"/>
      <c r="B44" s="57" t="s">
        <v>100</v>
      </c>
      <c r="C44" s="58">
        <v>288420.0505097304</v>
      </c>
      <c r="D44" s="58">
        <v>365384.3257645973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ht="12.75" customHeight="1">
      <c r="A45" s="24"/>
      <c r="B45" s="61" t="s">
        <v>101</v>
      </c>
      <c r="C45" s="73">
        <v>164753.02641334652</v>
      </c>
      <c r="D45" s="62">
        <v>453173.07692307694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ht="12.75" customHeight="1">
      <c r="A46" s="24"/>
      <c r="B46" s="54"/>
      <c r="C46" s="55">
        <v>0.0</v>
      </c>
      <c r="D46" s="55">
        <v>0.0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ht="12.75" customHeight="1">
      <c r="A47" s="24"/>
      <c r="B47" s="54" t="s">
        <v>102</v>
      </c>
      <c r="C47" s="55">
        <v>0.0</v>
      </c>
      <c r="D47" s="55">
        <v>0.0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ht="12.75" customHeight="1">
      <c r="A48" s="24"/>
      <c r="B48" s="54"/>
      <c r="C48" s="55">
        <v>0.0</v>
      </c>
      <c r="D48" s="55">
        <v>0.0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ht="12.75" customHeight="1">
      <c r="A49" s="24"/>
      <c r="B49" s="54" t="s">
        <v>103</v>
      </c>
      <c r="C49" s="55">
        <v>1281872.6830398515</v>
      </c>
      <c r="D49" s="55">
        <v>947969.6051899908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ht="12.75" customHeight="1">
      <c r="A50" s="24"/>
      <c r="B50" s="56" t="s">
        <v>104</v>
      </c>
      <c r="C50" s="55">
        <v>523639.3651529193</v>
      </c>
      <c r="D50" s="55">
        <v>105177.8266913809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ht="12.75" customHeight="1">
      <c r="A51" s="24"/>
      <c r="B51" s="57" t="s">
        <v>105</v>
      </c>
      <c r="C51" s="58">
        <v>394759.0361445783</v>
      </c>
      <c r="D51" s="58">
        <v>0.0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ht="12.75" customHeight="1">
      <c r="A52" s="24"/>
      <c r="B52" s="65" t="s">
        <v>106</v>
      </c>
      <c r="C52" s="66">
        <v>75011.00556070436</v>
      </c>
      <c r="D52" s="66">
        <v>105177.8266913809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ht="12.75" customHeight="1">
      <c r="A53" s="24"/>
      <c r="B53" s="61" t="s">
        <v>85</v>
      </c>
      <c r="C53" s="62">
        <v>53869.3234476367</v>
      </c>
      <c r="D53" s="62">
        <v>0.0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ht="12.75" customHeight="1">
      <c r="A54" s="24"/>
      <c r="B54" s="56" t="s">
        <v>107</v>
      </c>
      <c r="C54" s="55">
        <v>758233.3178869323</v>
      </c>
      <c r="D54" s="55">
        <v>842791.7784986099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ht="12.75" customHeight="1">
      <c r="A55" s="24"/>
      <c r="B55" s="57" t="s">
        <v>108</v>
      </c>
      <c r="C55" s="58">
        <v>42556.47590361446</v>
      </c>
      <c r="D55" s="58">
        <v>54738.47312326228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ht="12.75" customHeight="1">
      <c r="A56" s="24"/>
      <c r="B56" s="65" t="s">
        <v>105</v>
      </c>
      <c r="C56" s="66">
        <v>89784.52270620946</v>
      </c>
      <c r="D56" s="66">
        <v>0.0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ht="12.75" customHeight="1">
      <c r="A57" s="24"/>
      <c r="B57" s="65" t="s">
        <v>109</v>
      </c>
      <c r="C57" s="66">
        <v>267060.0671918443</v>
      </c>
      <c r="D57" s="66">
        <v>391348.47080630215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ht="12.75" customHeight="1">
      <c r="A58" s="24"/>
      <c r="B58" s="61" t="s">
        <v>85</v>
      </c>
      <c r="C58" s="62">
        <v>358832.25208526413</v>
      </c>
      <c r="D58" s="62">
        <v>396704.83456904546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ht="12.75" customHeight="1">
      <c r="A59" s="24"/>
      <c r="B59" s="67" t="s">
        <v>110</v>
      </c>
      <c r="C59" s="68">
        <v>1738231.580166821</v>
      </c>
      <c r="D59" s="68">
        <v>1769712.828081557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ht="12.75" customHeight="1">
      <c r="A60" s="24"/>
      <c r="B60" s="24"/>
      <c r="C60" s="69"/>
      <c r="D60" s="69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ht="12.75" customHeight="1">
      <c r="A61" s="24"/>
      <c r="B61" s="74"/>
      <c r="C61" s="69"/>
      <c r="D61" s="69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3:D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33.63"/>
    <col customWidth="1" min="3" max="4" width="12.0"/>
    <col customWidth="1" min="5" max="6" width="9.13"/>
    <col customWidth="1" min="7" max="24" width="8.63"/>
  </cols>
  <sheetData>
    <row r="1" ht="12.75" customHeight="1">
      <c r="A1" s="24"/>
      <c r="B1" s="24"/>
      <c r="C1" s="69"/>
      <c r="D1" s="69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ht="12.75" customHeight="1">
      <c r="A2" s="24"/>
      <c r="B2" s="2" t="s">
        <v>22</v>
      </c>
      <c r="C2" s="3" t="s">
        <v>64</v>
      </c>
      <c r="D2" s="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ht="12.75" customHeight="1">
      <c r="A3" s="24"/>
      <c r="B3" s="6"/>
      <c r="C3" s="53">
        <v>2016.0</v>
      </c>
      <c r="D3" s="53">
        <v>2017.0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ht="12.75" customHeight="1">
      <c r="A4" s="24"/>
      <c r="B4" s="75" t="s">
        <v>111</v>
      </c>
      <c r="C4" s="76">
        <f t="shared" ref="C4:D4" si="1">SUM(C5:C6)</f>
        <v>3418804.75</v>
      </c>
      <c r="D4" s="76">
        <f t="shared" si="1"/>
        <v>5477916.666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ht="12.75" customHeight="1">
      <c r="A5" s="24"/>
      <c r="B5" s="77" t="s">
        <v>112</v>
      </c>
      <c r="C5" s="76">
        <f>'Income Statement'!D5*1.21</f>
        <v>3284154.75</v>
      </c>
      <c r="D5" s="76">
        <f>'Income Statement'!E5*1.21</f>
        <v>5341246.916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ht="12.75" customHeight="1">
      <c r="A6" s="24"/>
      <c r="B6" s="77" t="s">
        <v>32</v>
      </c>
      <c r="C6" s="76">
        <v>134650.0</v>
      </c>
      <c r="D6" s="76">
        <f>C6*1.015</f>
        <v>136669.75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ht="12.75" customHeight="1">
      <c r="A7" s="24"/>
      <c r="B7" s="75" t="s">
        <v>113</v>
      </c>
      <c r="C7" s="76">
        <f t="shared" ref="C7:D7" si="2">SUM(C8:C11)</f>
        <v>-2865267.331</v>
      </c>
      <c r="D7" s="76">
        <f t="shared" si="2"/>
        <v>-4917989.939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ht="12.75" customHeight="1">
      <c r="A8" s="24"/>
      <c r="B8" s="77" t="s">
        <v>114</v>
      </c>
      <c r="C8" s="76">
        <v>-2232103.63716404</v>
      </c>
      <c r="D8" s="76">
        <v>-3598006.6062326236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ht="12.75" customHeight="1">
      <c r="A9" s="24"/>
      <c r="B9" s="77" t="s">
        <v>115</v>
      </c>
      <c r="C9" s="76">
        <v>-499966.69369786844</v>
      </c>
      <c r="D9" s="76">
        <v>-1368507.0088044486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ht="12.75" customHeight="1">
      <c r="A10" s="24"/>
      <c r="B10" s="77" t="s">
        <v>116</v>
      </c>
      <c r="C10" s="76">
        <v>-238.0</v>
      </c>
      <c r="D10" s="76">
        <v>70322.7951807229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ht="12.75" customHeight="1">
      <c r="A11" s="24"/>
      <c r="B11" s="77" t="s">
        <v>117</v>
      </c>
      <c r="C11" s="76">
        <v>-132959.0</v>
      </c>
      <c r="D11" s="76">
        <v>-21799.119555143654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ht="12.75" customHeight="1">
      <c r="A12" s="24"/>
      <c r="B12" s="78" t="s">
        <v>118</v>
      </c>
      <c r="C12" s="79">
        <f t="shared" ref="C12:D12" si="3">C4+C7</f>
        <v>553537.4189</v>
      </c>
      <c r="D12" s="79">
        <f t="shared" si="3"/>
        <v>559926.7261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ht="12.75" customHeight="1">
      <c r="A13" s="24"/>
      <c r="B13" s="80"/>
      <c r="C13" s="76"/>
      <c r="D13" s="76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ht="12.75" customHeight="1">
      <c r="A14" s="24"/>
      <c r="B14" s="77" t="s">
        <v>119</v>
      </c>
      <c r="C14" s="76">
        <v>-351467.21501390176</v>
      </c>
      <c r="D14" s="76">
        <v>-243493.97590361445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ht="12.75" customHeight="1">
      <c r="A15" s="24"/>
      <c r="B15" s="77" t="s">
        <v>120</v>
      </c>
      <c r="C15" s="76">
        <v>0.0</v>
      </c>
      <c r="D15" s="76">
        <v>291013.38044485636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ht="12.75" customHeight="1">
      <c r="A16" s="24"/>
      <c r="B16" s="77" t="s">
        <v>121</v>
      </c>
      <c r="C16" s="76">
        <v>-131719.18443002782</v>
      </c>
      <c r="D16" s="76">
        <v>-14027.745597775718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ht="12.75" customHeight="1">
      <c r="A17" s="24"/>
      <c r="B17" s="78" t="s">
        <v>122</v>
      </c>
      <c r="C17" s="79">
        <f t="shared" ref="C17:D17" si="4">SUM(C14:C16)</f>
        <v>-483186.3994</v>
      </c>
      <c r="D17" s="79">
        <f t="shared" si="4"/>
        <v>33491.65894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ht="12.75" customHeight="1">
      <c r="A18" s="24"/>
      <c r="B18" s="80"/>
      <c r="C18" s="76"/>
      <c r="D18" s="76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ht="12.75" customHeight="1">
      <c r="A19" s="24"/>
      <c r="B19" s="77" t="s">
        <v>123</v>
      </c>
      <c r="C19" s="76">
        <v>0.0</v>
      </c>
      <c r="D19" s="76">
        <v>0.0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ht="12.75" customHeight="1">
      <c r="A20" s="24"/>
      <c r="B20" s="77" t="s">
        <v>124</v>
      </c>
      <c r="C20" s="76"/>
      <c r="D20" s="76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ht="12.75" customHeight="1">
      <c r="A21" s="24"/>
      <c r="B21" s="77" t="s">
        <v>125</v>
      </c>
      <c r="C21" s="76">
        <v>53869.3234476367</v>
      </c>
      <c r="D21" s="76">
        <v>0.0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ht="12.75" customHeight="1">
      <c r="A22" s="24"/>
      <c r="B22" s="77" t="s">
        <v>126</v>
      </c>
      <c r="C22" s="76">
        <v>-56671.68674698795</v>
      </c>
      <c r="D22" s="76">
        <v>-576913.2298424467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ht="12.75" customHeight="1">
      <c r="A23" s="24"/>
      <c r="B23" s="77" t="s">
        <v>127</v>
      </c>
      <c r="C23" s="76">
        <v>-11716.867469879518</v>
      </c>
      <c r="D23" s="76">
        <v>-13756.371640407786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ht="12.75" customHeight="1">
      <c r="A24" s="24"/>
      <c r="B24" s="77" t="s">
        <v>128</v>
      </c>
      <c r="C24" s="76">
        <v>2253.5333642261353</v>
      </c>
      <c r="D24" s="76">
        <v>-7818.002780352179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ht="12.75" customHeight="1">
      <c r="A25" s="24"/>
      <c r="B25" s="78" t="s">
        <v>129</v>
      </c>
      <c r="C25" s="79">
        <f t="shared" ref="C25:D25" si="5">SUM(C19:C24)</f>
        <v>-12265.69741</v>
      </c>
      <c r="D25" s="79">
        <f t="shared" si="5"/>
        <v>-598487.6043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ht="12.75" customHeight="1">
      <c r="A26" s="24"/>
      <c r="B26" s="80"/>
      <c r="C26" s="76"/>
      <c r="D26" s="76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ht="12.75" customHeight="1">
      <c r="A27" s="24"/>
      <c r="B27" s="78" t="s">
        <v>130</v>
      </c>
      <c r="C27" s="79">
        <f t="shared" ref="C27:D27" si="6">SUM(C25,C17,C12)</f>
        <v>58085.32206</v>
      </c>
      <c r="D27" s="79">
        <f t="shared" si="6"/>
        <v>-5069.219184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ht="12.75" customHeight="1">
      <c r="A28" s="24"/>
      <c r="B28" s="77" t="s">
        <v>131</v>
      </c>
      <c r="C28" s="76">
        <v>127541.70528266914</v>
      </c>
      <c r="D28" s="76">
        <f>C29</f>
        <v>185627.0273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ht="12.75" customHeight="1">
      <c r="A29" s="24"/>
      <c r="B29" s="81" t="s">
        <v>132</v>
      </c>
      <c r="C29" s="82">
        <f t="shared" ref="C29:D29" si="7">C28+C27</f>
        <v>185627.0273</v>
      </c>
      <c r="D29" s="82">
        <f t="shared" si="7"/>
        <v>180557.8082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ht="12.75" customHeight="1">
      <c r="A31" s="24"/>
      <c r="B31" s="24" t="s">
        <v>133</v>
      </c>
      <c r="C31" s="69">
        <v>5.820766091346741E-10</v>
      </c>
      <c r="D31" s="69">
        <v>-2.3283064365386963E-10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ht="12.75" customHeight="1">
      <c r="A32" s="24"/>
      <c r="B32" s="24"/>
      <c r="C32" s="69">
        <f>C29-'Balance sheet'!C31</f>
        <v>0.0000000005238689482</v>
      </c>
      <c r="D32" s="69">
        <f>D29-'Balance sheet'!D31</f>
        <v>-0.0000000002328306437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D2"/>
  </mergeCells>
  <conditionalFormatting sqref="C32:D32">
    <cfRule type="cellIs" dxfId="0" priority="1" stopIfTrue="1" operator="notBetween">
      <formula>-1</formula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13"/>
    <col customWidth="1" min="3" max="9" width="16.38"/>
    <col customWidth="1" min="10" max="10" width="8.25"/>
    <col customWidth="1" min="11" max="11" width="70.63"/>
    <col customWidth="1" min="12" max="12" width="23.13"/>
  </cols>
  <sheetData>
    <row r="1">
      <c r="A1" s="83" t="s">
        <v>134</v>
      </c>
      <c r="B1" s="84"/>
      <c r="C1" s="84"/>
      <c r="D1" s="84"/>
      <c r="E1" s="84"/>
      <c r="F1" s="84"/>
      <c r="G1" s="84"/>
      <c r="H1" s="84"/>
      <c r="I1" s="84"/>
      <c r="K1" s="85" t="s">
        <v>135</v>
      </c>
      <c r="L1" s="86"/>
    </row>
    <row r="2">
      <c r="A2" s="87"/>
      <c r="B2" s="88" t="s">
        <v>136</v>
      </c>
      <c r="C2" s="88" t="s">
        <v>137</v>
      </c>
      <c r="D2" s="88" t="s">
        <v>138</v>
      </c>
      <c r="E2" s="88" t="s">
        <v>139</v>
      </c>
      <c r="F2" s="88" t="s">
        <v>140</v>
      </c>
      <c r="G2" s="88" t="s">
        <v>141</v>
      </c>
      <c r="H2" s="88" t="s">
        <v>142</v>
      </c>
      <c r="I2" s="88" t="s">
        <v>143</v>
      </c>
      <c r="K2" s="89" t="s">
        <v>144</v>
      </c>
      <c r="L2" s="90">
        <v>22808.0</v>
      </c>
    </row>
    <row r="3">
      <c r="A3" s="87"/>
      <c r="B3" s="88" t="s">
        <v>145</v>
      </c>
      <c r="C3" s="88">
        <v>0.0</v>
      </c>
      <c r="D3" s="88">
        <v>1.0</v>
      </c>
      <c r="E3" s="88">
        <v>2.0</v>
      </c>
      <c r="F3" s="88">
        <v>3.0</v>
      </c>
      <c r="G3" s="88">
        <v>4.0</v>
      </c>
      <c r="H3" s="88">
        <v>5.0</v>
      </c>
      <c r="I3" s="88">
        <v>6.0</v>
      </c>
      <c r="K3" s="89" t="s">
        <v>146</v>
      </c>
      <c r="L3" s="91">
        <f>'Income Statement'!E6/'Income Statement'!E5</f>
        <v>0.2541635734</v>
      </c>
    </row>
    <row r="4">
      <c r="A4" s="92" t="s">
        <v>147</v>
      </c>
      <c r="B4" s="87">
        <f>B5</f>
        <v>4414253.649</v>
      </c>
      <c r="C4" s="87">
        <f t="shared" ref="C4:I4" si="1">B4*1.1</f>
        <v>4855679.014</v>
      </c>
      <c r="D4" s="87">
        <f t="shared" si="1"/>
        <v>5341246.916</v>
      </c>
      <c r="E4" s="87">
        <f t="shared" si="1"/>
        <v>5875371.607</v>
      </c>
      <c r="F4" s="87">
        <f t="shared" si="1"/>
        <v>6462908.768</v>
      </c>
      <c r="G4" s="87">
        <f t="shared" si="1"/>
        <v>7109199.645</v>
      </c>
      <c r="H4" s="87">
        <f t="shared" si="1"/>
        <v>7820119.609</v>
      </c>
      <c r="I4" s="87">
        <f t="shared" si="1"/>
        <v>8602131.57</v>
      </c>
      <c r="K4" s="89" t="s">
        <v>148</v>
      </c>
      <c r="L4" s="93" t="s">
        <v>149</v>
      </c>
    </row>
    <row r="5">
      <c r="A5" s="94" t="s">
        <v>150</v>
      </c>
      <c r="B5" s="87">
        <f>'Income Statement'!E5</f>
        <v>4414253.649</v>
      </c>
      <c r="C5" s="87">
        <f t="shared" ref="C5:D5" si="2">B5*1.1</f>
        <v>4855679.014</v>
      </c>
      <c r="D5" s="87">
        <f t="shared" si="2"/>
        <v>5341246.916</v>
      </c>
      <c r="E5" s="87">
        <f>E4*1.5</f>
        <v>8813057.411</v>
      </c>
      <c r="F5" s="87">
        <f t="shared" ref="F5:I5" si="3">E5*1.1</f>
        <v>9694363.152</v>
      </c>
      <c r="G5" s="87">
        <f t="shared" si="3"/>
        <v>10663799.47</v>
      </c>
      <c r="H5" s="87">
        <f t="shared" si="3"/>
        <v>11730179.41</v>
      </c>
      <c r="I5" s="87">
        <f t="shared" si="3"/>
        <v>12903197.35</v>
      </c>
      <c r="K5" s="89" t="s">
        <v>151</v>
      </c>
      <c r="L5" s="95">
        <v>0.1</v>
      </c>
    </row>
    <row r="6">
      <c r="A6" s="92" t="s">
        <v>152</v>
      </c>
      <c r="B6" s="96" t="str">
        <f>#REF!/B5</f>
        <v>#REF!</v>
      </c>
      <c r="C6" s="97" t="s">
        <v>153</v>
      </c>
      <c r="D6" s="97" t="s">
        <v>153</v>
      </c>
      <c r="E6" s="98">
        <v>0.5</v>
      </c>
      <c r="F6" s="99">
        <f t="shared" ref="F6:I6" si="4">+10%</f>
        <v>0.1</v>
      </c>
      <c r="G6" s="99">
        <f t="shared" si="4"/>
        <v>0.1</v>
      </c>
      <c r="H6" s="99">
        <f t="shared" si="4"/>
        <v>0.1</v>
      </c>
      <c r="I6" s="99">
        <f t="shared" si="4"/>
        <v>0.1</v>
      </c>
      <c r="K6" s="89" t="s">
        <v>154</v>
      </c>
      <c r="L6" s="93" t="s">
        <v>155</v>
      </c>
    </row>
    <row r="7">
      <c r="A7" s="100" t="s">
        <v>156</v>
      </c>
      <c r="B7" s="101"/>
      <c r="C7" s="101">
        <f t="shared" ref="C7:I7" si="5">C5-C4</f>
        <v>0</v>
      </c>
      <c r="D7" s="101">
        <f t="shared" si="5"/>
        <v>0</v>
      </c>
      <c r="E7" s="101">
        <f t="shared" si="5"/>
        <v>2937685.804</v>
      </c>
      <c r="F7" s="101">
        <f t="shared" si="5"/>
        <v>3231454.384</v>
      </c>
      <c r="G7" s="101">
        <f t="shared" si="5"/>
        <v>3554599.822</v>
      </c>
      <c r="H7" s="101">
        <f t="shared" si="5"/>
        <v>3910059.805</v>
      </c>
      <c r="I7" s="101">
        <f t="shared" si="5"/>
        <v>4301065.785</v>
      </c>
      <c r="J7" s="102"/>
      <c r="K7" s="89" t="s">
        <v>157</v>
      </c>
      <c r="L7" s="103">
        <v>0.1185</v>
      </c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</row>
    <row r="8">
      <c r="A8" s="88" t="s">
        <v>158</v>
      </c>
      <c r="B8" s="87"/>
      <c r="C8" s="87"/>
      <c r="D8" s="87"/>
      <c r="E8" s="87">
        <f t="shared" ref="E8:I8" si="6">-E7*$L$3</f>
        <v>-746652.7214</v>
      </c>
      <c r="F8" s="87">
        <f t="shared" si="6"/>
        <v>-821317.9936</v>
      </c>
      <c r="G8" s="87">
        <f t="shared" si="6"/>
        <v>-903449.7929</v>
      </c>
      <c r="H8" s="87">
        <f t="shared" si="6"/>
        <v>-993794.7722</v>
      </c>
      <c r="I8" s="87">
        <f t="shared" si="6"/>
        <v>-1093174.249</v>
      </c>
      <c r="K8" s="89" t="s">
        <v>159</v>
      </c>
      <c r="L8" s="86"/>
    </row>
    <row r="9">
      <c r="A9" s="92" t="s">
        <v>160</v>
      </c>
      <c r="B9" s="87"/>
      <c r="C9" s="87"/>
      <c r="D9" s="87"/>
      <c r="E9" s="87">
        <f t="shared" ref="E9:I9" si="7">-E7*$L$7</f>
        <v>-348115.7677</v>
      </c>
      <c r="F9" s="87">
        <f t="shared" si="7"/>
        <v>-382927.3445</v>
      </c>
      <c r="G9" s="87">
        <f t="shared" si="7"/>
        <v>-421220.0789</v>
      </c>
      <c r="H9" s="87">
        <f t="shared" si="7"/>
        <v>-463342.0868</v>
      </c>
      <c r="I9" s="87">
        <f t="shared" si="7"/>
        <v>-509676.2955</v>
      </c>
      <c r="L9" s="86"/>
    </row>
    <row r="10">
      <c r="A10" s="94" t="s">
        <v>161</v>
      </c>
      <c r="B10" s="101"/>
      <c r="C10" s="101"/>
      <c r="D10" s="101"/>
      <c r="E10" s="101">
        <f t="shared" ref="E10:I10" si="8">SUM(E8:E9)</f>
        <v>-1094768.489</v>
      </c>
      <c r="F10" s="101">
        <f t="shared" si="8"/>
        <v>-1204245.338</v>
      </c>
      <c r="G10" s="101">
        <f t="shared" si="8"/>
        <v>-1324669.872</v>
      </c>
      <c r="H10" s="101">
        <f t="shared" si="8"/>
        <v>-1457136.859</v>
      </c>
      <c r="I10" s="101">
        <f t="shared" si="8"/>
        <v>-1602850.545</v>
      </c>
      <c r="J10" s="102"/>
      <c r="L10" s="86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</row>
    <row r="11">
      <c r="A11" s="94" t="s">
        <v>162</v>
      </c>
      <c r="B11" s="101"/>
      <c r="C11" s="101"/>
      <c r="D11" s="101"/>
      <c r="E11" s="101">
        <f t="shared" ref="E11:I11" si="9">-$L$2*10</f>
        <v>-228080</v>
      </c>
      <c r="F11" s="101">
        <f t="shared" si="9"/>
        <v>-228080</v>
      </c>
      <c r="G11" s="101">
        <f t="shared" si="9"/>
        <v>-228080</v>
      </c>
      <c r="H11" s="101">
        <f t="shared" si="9"/>
        <v>-228080</v>
      </c>
      <c r="I11" s="101">
        <f t="shared" si="9"/>
        <v>-228080</v>
      </c>
      <c r="J11" s="102"/>
      <c r="L11" s="86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</row>
    <row r="12">
      <c r="A12" s="100" t="s">
        <v>163</v>
      </c>
      <c r="B12" s="101"/>
      <c r="C12" s="101"/>
      <c r="D12" s="101"/>
      <c r="E12" s="101">
        <f t="shared" ref="E12:I12" si="10">E7+E10+E11</f>
        <v>1614837.314</v>
      </c>
      <c r="F12" s="101">
        <f t="shared" si="10"/>
        <v>1799129.046</v>
      </c>
      <c r="G12" s="101">
        <f t="shared" si="10"/>
        <v>2001849.95</v>
      </c>
      <c r="H12" s="101">
        <f t="shared" si="10"/>
        <v>2224842.945</v>
      </c>
      <c r="I12" s="101">
        <f t="shared" si="10"/>
        <v>2470135.24</v>
      </c>
      <c r="J12" s="102"/>
      <c r="L12" s="86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</row>
    <row r="13">
      <c r="A13" s="92" t="s">
        <v>164</v>
      </c>
      <c r="B13" s="87"/>
      <c r="C13" s="87"/>
      <c r="D13" s="87"/>
      <c r="E13" s="87">
        <f>-sum(Invesment!$D$5,Invesment!$E$5,Invesment!$E$6)/15</f>
        <v>-301884.8801</v>
      </c>
      <c r="F13" s="87">
        <f>-sum(Invesment!$D$5,Invesment!$E$5,Invesment!$E$6)/15</f>
        <v>-301884.8801</v>
      </c>
      <c r="G13" s="87">
        <f>-sum(Invesment!$D$5,Invesment!$E$5,Invesment!$E$6)/15</f>
        <v>-301884.8801</v>
      </c>
      <c r="H13" s="87">
        <f>-sum(Invesment!$D$5,Invesment!$E$5,Invesment!$E$6)/15</f>
        <v>-301884.8801</v>
      </c>
      <c r="I13" s="87">
        <f>-sum(Invesment!$D$5,Invesment!$E$5,Invesment!$E$6)/15</f>
        <v>-301884.8801</v>
      </c>
      <c r="L13" s="86"/>
    </row>
    <row r="14">
      <c r="A14" s="94" t="s">
        <v>165</v>
      </c>
      <c r="B14" s="101"/>
      <c r="C14" s="101"/>
      <c r="D14" s="101"/>
      <c r="E14" s="101">
        <f t="shared" ref="E14:I14" si="11">E12+E13</f>
        <v>1312952.434</v>
      </c>
      <c r="F14" s="101">
        <f t="shared" si="11"/>
        <v>1497244.166</v>
      </c>
      <c r="G14" s="101">
        <f t="shared" si="11"/>
        <v>1699965.07</v>
      </c>
      <c r="H14" s="101">
        <f t="shared" si="11"/>
        <v>1922958.065</v>
      </c>
      <c r="I14" s="101">
        <f t="shared" si="11"/>
        <v>2168250.36</v>
      </c>
      <c r="J14" s="102"/>
      <c r="L14" s="86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</row>
    <row r="15">
      <c r="A15" s="88" t="s">
        <v>166</v>
      </c>
      <c r="B15" s="87"/>
      <c r="C15" s="87"/>
      <c r="D15" s="87"/>
      <c r="E15" s="87">
        <f t="shared" ref="E15:I15" si="12">-E14*0.15</f>
        <v>-196942.8652</v>
      </c>
      <c r="F15" s="87">
        <f t="shared" si="12"/>
        <v>-224586.6249</v>
      </c>
      <c r="G15" s="87">
        <f t="shared" si="12"/>
        <v>-254994.7606</v>
      </c>
      <c r="H15" s="87">
        <f t="shared" si="12"/>
        <v>-288443.7098</v>
      </c>
      <c r="I15" s="87">
        <f t="shared" si="12"/>
        <v>-325237.554</v>
      </c>
      <c r="L15" s="86"/>
    </row>
    <row r="16">
      <c r="A16" s="100" t="s">
        <v>167</v>
      </c>
      <c r="B16" s="101"/>
      <c r="C16" s="101"/>
      <c r="D16" s="101"/>
      <c r="E16" s="101">
        <f t="shared" ref="E16:I16" si="13">E14+E15</f>
        <v>1116009.569</v>
      </c>
      <c r="F16" s="101">
        <f t="shared" si="13"/>
        <v>1272657.541</v>
      </c>
      <c r="G16" s="101">
        <f t="shared" si="13"/>
        <v>1444970.31</v>
      </c>
      <c r="H16" s="101">
        <f t="shared" si="13"/>
        <v>1634514.356</v>
      </c>
      <c r="I16" s="101">
        <f t="shared" si="13"/>
        <v>1843012.806</v>
      </c>
      <c r="L16" s="86"/>
    </row>
    <row r="17">
      <c r="A17" s="88" t="s">
        <v>168</v>
      </c>
      <c r="B17" s="87"/>
      <c r="C17" s="87"/>
      <c r="D17" s="87"/>
      <c r="E17" s="87">
        <f>E7*0.1</f>
        <v>293768.5804</v>
      </c>
      <c r="F17" s="87">
        <f>($F$7*0.1)-E17</f>
        <v>29376.85804</v>
      </c>
      <c r="G17" s="87">
        <f t="shared" ref="G17:H17" si="14">G7*0.1-F7*0.1</f>
        <v>32314.54384</v>
      </c>
      <c r="H17" s="87">
        <f t="shared" si="14"/>
        <v>35545.99822</v>
      </c>
      <c r="I17" s="87">
        <f>0-H7*0.1</f>
        <v>-391005.9805</v>
      </c>
      <c r="L17" s="86"/>
    </row>
    <row r="18">
      <c r="A18" s="88" t="s">
        <v>169</v>
      </c>
      <c r="B18" s="87"/>
      <c r="C18" s="87">
        <f>-Invesment!D14</f>
        <v>-1042309.28</v>
      </c>
      <c r="D18" s="87">
        <f>-Invesment!E14</f>
        <v>-4375963.921</v>
      </c>
      <c r="E18" s="87"/>
      <c r="F18" s="87"/>
      <c r="G18" s="87"/>
      <c r="H18" s="87"/>
      <c r="I18" s="104"/>
      <c r="L18" s="86"/>
    </row>
    <row r="19">
      <c r="A19" s="100" t="s">
        <v>170</v>
      </c>
      <c r="B19" s="101"/>
      <c r="C19" s="101">
        <f t="shared" ref="C19:D19" si="15">C18</f>
        <v>-1042309.28</v>
      </c>
      <c r="D19" s="101">
        <f t="shared" si="15"/>
        <v>-4375963.921</v>
      </c>
      <c r="E19" s="101">
        <f t="shared" ref="E19:I19" si="16">E16-E13-E17</f>
        <v>1124125.869</v>
      </c>
      <c r="F19" s="101">
        <f t="shared" si="16"/>
        <v>1545165.563</v>
      </c>
      <c r="G19" s="101">
        <f t="shared" si="16"/>
        <v>1714540.646</v>
      </c>
      <c r="H19" s="101">
        <f t="shared" si="16"/>
        <v>1900853.237</v>
      </c>
      <c r="I19" s="101">
        <f t="shared" si="16"/>
        <v>2535903.666</v>
      </c>
      <c r="J19" s="102"/>
      <c r="K19" s="102"/>
      <c r="L19" s="105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</row>
    <row r="20">
      <c r="A20" s="88" t="s">
        <v>171</v>
      </c>
      <c r="B20" s="87"/>
      <c r="C20" s="87">
        <f>C19</f>
        <v>-1042309.28</v>
      </c>
      <c r="D20" s="87">
        <f t="shared" ref="D20:I20" si="17">sum(C20,D19)</f>
        <v>-5418273.201</v>
      </c>
      <c r="E20" s="87">
        <f t="shared" si="17"/>
        <v>-4294147.332</v>
      </c>
      <c r="F20" s="87">
        <f t="shared" si="17"/>
        <v>-2748981.769</v>
      </c>
      <c r="G20" s="87">
        <f t="shared" si="17"/>
        <v>-1034441.123</v>
      </c>
      <c r="H20" s="87">
        <f t="shared" si="17"/>
        <v>866412.1143</v>
      </c>
      <c r="I20" s="87">
        <f t="shared" si="17"/>
        <v>3402315.781</v>
      </c>
      <c r="L20" s="86"/>
    </row>
    <row r="21">
      <c r="A21" s="84"/>
      <c r="B21" s="84"/>
      <c r="C21" s="84"/>
      <c r="D21" s="84"/>
      <c r="E21" s="84"/>
      <c r="F21" s="89"/>
      <c r="I21" s="84"/>
      <c r="L21" s="86"/>
    </row>
    <row r="22">
      <c r="A22" s="83" t="s">
        <v>172</v>
      </c>
      <c r="B22" s="106">
        <f t="array" ref="B22">NPV(L5, D19:I19) + C19</f>
        <v>852263.2488</v>
      </c>
      <c r="C22" s="84"/>
      <c r="D22" s="84"/>
      <c r="E22" s="84"/>
      <c r="I22" s="84"/>
      <c r="L22" s="86"/>
    </row>
    <row r="23">
      <c r="A23" s="83" t="s">
        <v>173</v>
      </c>
      <c r="B23" s="107">
        <f>irr(C19:I19)</f>
        <v>0.152880499</v>
      </c>
      <c r="C23" s="84"/>
      <c r="D23" s="84"/>
      <c r="E23" s="84"/>
      <c r="F23" s="102"/>
      <c r="I23" s="84"/>
      <c r="L23" s="86"/>
    </row>
    <row r="24">
      <c r="A24" s="83" t="s">
        <v>174</v>
      </c>
      <c r="B24" s="108" t="s">
        <v>175</v>
      </c>
      <c r="C24" s="84"/>
      <c r="D24" s="84"/>
      <c r="E24" s="84"/>
      <c r="F24" s="89"/>
      <c r="I24" s="84"/>
      <c r="L24" s="86"/>
    </row>
    <row r="25">
      <c r="A25" s="84"/>
      <c r="B25" s="109"/>
      <c r="C25" s="84"/>
      <c r="D25" s="84"/>
      <c r="E25" s="84"/>
      <c r="I25" s="84"/>
      <c r="L25" s="86"/>
    </row>
    <row r="26">
      <c r="A26" s="110" t="s">
        <v>176</v>
      </c>
      <c r="B26" s="109">
        <f>Invesment!C14</f>
        <v>5418273.201</v>
      </c>
      <c r="C26" s="84"/>
      <c r="D26" s="84"/>
      <c r="E26" s="84"/>
      <c r="F26" s="89"/>
      <c r="H26" s="102"/>
      <c r="I26" s="84"/>
      <c r="L26" s="86"/>
    </row>
    <row r="27">
      <c r="A27" s="110" t="s">
        <v>177</v>
      </c>
      <c r="B27" s="109">
        <f>sum(E19:I19)</f>
        <v>8820588.982</v>
      </c>
      <c r="C27" s="84"/>
      <c r="D27" s="84"/>
      <c r="E27" s="84"/>
      <c r="F27" s="102"/>
      <c r="I27" s="84"/>
      <c r="L27" s="86"/>
    </row>
    <row r="28">
      <c r="A28" s="110" t="s">
        <v>178</v>
      </c>
      <c r="B28" s="109">
        <f>B27-B26</f>
        <v>3402315.781</v>
      </c>
      <c r="C28" s="84"/>
      <c r="D28" s="84"/>
      <c r="E28" s="84"/>
      <c r="F28" s="89"/>
      <c r="G28" s="111"/>
      <c r="I28" s="84"/>
      <c r="L28" s="86"/>
    </row>
    <row r="29">
      <c r="A29" s="83" t="s">
        <v>179</v>
      </c>
      <c r="B29" s="107">
        <f>B28/B26</f>
        <v>0.627933597</v>
      </c>
      <c r="C29" s="84"/>
      <c r="D29" s="84"/>
      <c r="E29" s="84"/>
      <c r="F29" s="102"/>
      <c r="H29" s="102"/>
      <c r="I29" s="84"/>
      <c r="L29" s="86"/>
    </row>
    <row r="30">
      <c r="A30" s="84"/>
      <c r="B30" s="84"/>
      <c r="C30" s="84"/>
      <c r="D30" s="84"/>
      <c r="E30" s="84"/>
      <c r="F30" s="89"/>
      <c r="H30" s="102"/>
      <c r="I30" s="84"/>
      <c r="L30" s="86"/>
    </row>
    <row r="31">
      <c r="A31" s="84"/>
      <c r="B31" s="84"/>
      <c r="C31" s="84"/>
      <c r="D31" s="84"/>
      <c r="E31" s="84"/>
      <c r="F31" s="102"/>
      <c r="H31" s="102"/>
      <c r="I31" s="84"/>
      <c r="L31" s="86"/>
    </row>
    <row r="32">
      <c r="A32" s="84"/>
      <c r="B32" s="84"/>
      <c r="C32" s="84"/>
      <c r="D32" s="84"/>
      <c r="E32" s="84"/>
      <c r="F32" s="89"/>
      <c r="G32" s="112"/>
      <c r="I32" s="84"/>
      <c r="L32" s="86"/>
    </row>
    <row r="33">
      <c r="A33" s="83" t="s">
        <v>180</v>
      </c>
      <c r="B33" s="84"/>
      <c r="C33" s="84"/>
      <c r="D33" s="84"/>
      <c r="E33" s="84"/>
      <c r="F33" s="102"/>
      <c r="H33" s="102"/>
      <c r="I33" s="84"/>
      <c r="K33" s="85" t="s">
        <v>181</v>
      </c>
      <c r="L33" s="86"/>
    </row>
    <row r="34">
      <c r="A34" s="87"/>
      <c r="B34" s="88" t="s">
        <v>136</v>
      </c>
      <c r="C34" s="88" t="s">
        <v>182</v>
      </c>
      <c r="D34" s="88" t="s">
        <v>183</v>
      </c>
      <c r="E34" s="88" t="s">
        <v>139</v>
      </c>
      <c r="F34" s="88" t="s">
        <v>140</v>
      </c>
      <c r="G34" s="88" t="s">
        <v>141</v>
      </c>
      <c r="H34" s="88" t="s">
        <v>142</v>
      </c>
      <c r="I34" s="88" t="s">
        <v>143</v>
      </c>
      <c r="K34" s="83" t="s">
        <v>184</v>
      </c>
      <c r="L34" s="95">
        <v>0.15</v>
      </c>
    </row>
    <row r="35">
      <c r="A35" s="87"/>
      <c r="B35" s="88" t="s">
        <v>145</v>
      </c>
      <c r="C35" s="88">
        <v>0.0</v>
      </c>
      <c r="D35" s="88">
        <v>1.0</v>
      </c>
      <c r="E35" s="88">
        <v>2.0</v>
      </c>
      <c r="F35" s="88">
        <v>3.0</v>
      </c>
      <c r="G35" s="88">
        <v>4.0</v>
      </c>
      <c r="H35" s="88">
        <v>5.0</v>
      </c>
      <c r="I35" s="88">
        <v>6.0</v>
      </c>
      <c r="K35" s="83" t="s">
        <v>185</v>
      </c>
      <c r="L35" s="103">
        <v>0.1</v>
      </c>
    </row>
    <row r="36">
      <c r="A36" s="92" t="s">
        <v>147</v>
      </c>
      <c r="B36" s="87">
        <f>'Income Statement'!E5</f>
        <v>4414253.649</v>
      </c>
      <c r="C36" s="87">
        <f t="shared" ref="C36:I36" si="18">B36*1.1</f>
        <v>4855679.014</v>
      </c>
      <c r="D36" s="87">
        <f t="shared" si="18"/>
        <v>5341246.916</v>
      </c>
      <c r="E36" s="87">
        <f t="shared" si="18"/>
        <v>5875371.607</v>
      </c>
      <c r="F36" s="87">
        <f t="shared" si="18"/>
        <v>6462908.768</v>
      </c>
      <c r="G36" s="87">
        <f t="shared" si="18"/>
        <v>7109199.645</v>
      </c>
      <c r="H36" s="87">
        <f t="shared" si="18"/>
        <v>7820119.609</v>
      </c>
      <c r="I36" s="87">
        <f t="shared" si="18"/>
        <v>8602131.57</v>
      </c>
      <c r="K36" s="89" t="s">
        <v>186</v>
      </c>
      <c r="L36" s="113" t="s">
        <v>187</v>
      </c>
      <c r="M36" s="84"/>
    </row>
    <row r="37">
      <c r="A37" s="94" t="s">
        <v>150</v>
      </c>
      <c r="B37" s="87">
        <f>'Income Statement'!E5</f>
        <v>4414253.649</v>
      </c>
      <c r="C37" s="87">
        <f t="shared" ref="C37:D37" si="19">B37*1.3</f>
        <v>5738529.744</v>
      </c>
      <c r="D37" s="87">
        <f t="shared" si="19"/>
        <v>7460088.667</v>
      </c>
      <c r="E37" s="87">
        <f t="shared" ref="E37:I37" si="20">D37*1.15</f>
        <v>8579101.967</v>
      </c>
      <c r="F37" s="87">
        <f t="shared" si="20"/>
        <v>9865967.262</v>
      </c>
      <c r="G37" s="87">
        <f t="shared" si="20"/>
        <v>11345862.35</v>
      </c>
      <c r="H37" s="87">
        <f t="shared" si="20"/>
        <v>13047741.7</v>
      </c>
      <c r="I37" s="87">
        <f t="shared" si="20"/>
        <v>15004902.96</v>
      </c>
      <c r="K37" s="89" t="s">
        <v>188</v>
      </c>
      <c r="L37" s="113">
        <v>10.0</v>
      </c>
      <c r="M37" s="84"/>
    </row>
    <row r="38">
      <c r="A38" s="92" t="s">
        <v>152</v>
      </c>
      <c r="B38" s="96"/>
      <c r="C38" s="97" t="s">
        <v>189</v>
      </c>
      <c r="D38" s="97" t="s">
        <v>189</v>
      </c>
      <c r="E38" s="98">
        <v>0.15</v>
      </c>
      <c r="F38" s="98">
        <v>0.15</v>
      </c>
      <c r="G38" s="98">
        <v>0.15</v>
      </c>
      <c r="H38" s="98">
        <v>0.15</v>
      </c>
      <c r="I38" s="98">
        <v>0.15</v>
      </c>
      <c r="K38" s="89" t="s">
        <v>190</v>
      </c>
      <c r="L38" s="93" t="s">
        <v>155</v>
      </c>
      <c r="M38" s="84"/>
    </row>
    <row r="39">
      <c r="A39" s="100" t="s">
        <v>156</v>
      </c>
      <c r="B39" s="87"/>
      <c r="C39" s="87">
        <f t="shared" ref="C39:I39" si="21">C37-C36</f>
        <v>882850.7298</v>
      </c>
      <c r="D39" s="87">
        <f t="shared" si="21"/>
        <v>2118841.752</v>
      </c>
      <c r="E39" s="87">
        <f t="shared" si="21"/>
        <v>2703730.36</v>
      </c>
      <c r="F39" s="87">
        <f t="shared" si="21"/>
        <v>3403058.495</v>
      </c>
      <c r="G39" s="87">
        <f t="shared" si="21"/>
        <v>4236662.707</v>
      </c>
      <c r="H39" s="87">
        <f t="shared" si="21"/>
        <v>5227622.095</v>
      </c>
      <c r="I39" s="87">
        <f t="shared" si="21"/>
        <v>6402771.39</v>
      </c>
      <c r="K39" s="83" t="s">
        <v>191</v>
      </c>
      <c r="L39" s="113" t="s">
        <v>192</v>
      </c>
      <c r="M39" s="84"/>
    </row>
    <row r="40">
      <c r="A40" s="88" t="s">
        <v>193</v>
      </c>
      <c r="B40" s="87"/>
      <c r="C40" s="87">
        <f t="shared" ref="C40:I40" si="22">C39*(-0.2)</f>
        <v>-176570.146</v>
      </c>
      <c r="D40" s="87">
        <f t="shared" si="22"/>
        <v>-423768.3503</v>
      </c>
      <c r="E40" s="87">
        <f t="shared" si="22"/>
        <v>-540746.072</v>
      </c>
      <c r="F40" s="87">
        <f t="shared" si="22"/>
        <v>-680611.6989</v>
      </c>
      <c r="G40" s="87">
        <f t="shared" si="22"/>
        <v>-847332.5414</v>
      </c>
      <c r="H40" s="87">
        <f t="shared" si="22"/>
        <v>-1045524.419</v>
      </c>
      <c r="I40" s="87">
        <f t="shared" si="22"/>
        <v>-1280554.278</v>
      </c>
      <c r="K40" s="89" t="s">
        <v>194</v>
      </c>
      <c r="L40" s="113">
        <v>456160.0</v>
      </c>
      <c r="M40" s="84"/>
    </row>
    <row r="41">
      <c r="A41" s="92" t="s">
        <v>195</v>
      </c>
      <c r="B41" s="87"/>
      <c r="C41" s="87"/>
      <c r="D41" s="87"/>
      <c r="E41" s="88">
        <v>-1000000.0</v>
      </c>
      <c r="F41" s="88">
        <v>-1000000.0</v>
      </c>
      <c r="G41" s="88">
        <v>-1000000.0</v>
      </c>
      <c r="H41" s="88">
        <v>-1000000.0</v>
      </c>
      <c r="I41" s="88">
        <v>-1000000.0</v>
      </c>
      <c r="K41" s="89" t="s">
        <v>196</v>
      </c>
      <c r="L41" s="113">
        <v>0.0</v>
      </c>
      <c r="M41" s="84"/>
    </row>
    <row r="42">
      <c r="A42" s="94" t="s">
        <v>197</v>
      </c>
      <c r="B42" s="101"/>
      <c r="C42" s="101">
        <f t="shared" ref="C42:I42" si="23">C40</f>
        <v>-176570.146</v>
      </c>
      <c r="D42" s="101">
        <f t="shared" si="23"/>
        <v>-423768.3503</v>
      </c>
      <c r="E42" s="101">
        <f t="shared" si="23"/>
        <v>-540746.072</v>
      </c>
      <c r="F42" s="101">
        <f t="shared" si="23"/>
        <v>-680611.6989</v>
      </c>
      <c r="G42" s="101">
        <f t="shared" si="23"/>
        <v>-847332.5414</v>
      </c>
      <c r="H42" s="101">
        <f t="shared" si="23"/>
        <v>-1045524.419</v>
      </c>
      <c r="I42" s="101">
        <f t="shared" si="23"/>
        <v>-1280554.278</v>
      </c>
      <c r="L42" s="114"/>
      <c r="M42" s="84"/>
    </row>
    <row r="43">
      <c r="A43" s="94" t="s">
        <v>162</v>
      </c>
      <c r="B43" s="101"/>
      <c r="C43" s="101">
        <f t="shared" ref="C43:I43" si="24">-$L$2*2*10</f>
        <v>-456160</v>
      </c>
      <c r="D43" s="101">
        <f t="shared" si="24"/>
        <v>-456160</v>
      </c>
      <c r="E43" s="101">
        <f t="shared" si="24"/>
        <v>-456160</v>
      </c>
      <c r="F43" s="101">
        <f t="shared" si="24"/>
        <v>-456160</v>
      </c>
      <c r="G43" s="101">
        <f t="shared" si="24"/>
        <v>-456160</v>
      </c>
      <c r="H43" s="101">
        <f t="shared" si="24"/>
        <v>-456160</v>
      </c>
      <c r="I43" s="101">
        <f t="shared" si="24"/>
        <v>-456160</v>
      </c>
      <c r="L43" s="114"/>
      <c r="M43" s="84"/>
    </row>
    <row r="44">
      <c r="A44" s="100" t="s">
        <v>163</v>
      </c>
      <c r="B44" s="101"/>
      <c r="C44" s="101">
        <f t="shared" ref="C44:I44" si="25">C39+C41+C42+C43</f>
        <v>250120.5839</v>
      </c>
      <c r="D44" s="101">
        <f t="shared" si="25"/>
        <v>1238913.401</v>
      </c>
      <c r="E44" s="101">
        <f t="shared" si="25"/>
        <v>706824.2881</v>
      </c>
      <c r="F44" s="101">
        <f t="shared" si="25"/>
        <v>1266286.796</v>
      </c>
      <c r="G44" s="101">
        <f t="shared" si="25"/>
        <v>1933170.166</v>
      </c>
      <c r="H44" s="101">
        <f t="shared" si="25"/>
        <v>2725937.676</v>
      </c>
      <c r="I44" s="101">
        <f t="shared" si="25"/>
        <v>3666057.112</v>
      </c>
      <c r="L44" s="86"/>
    </row>
    <row r="45">
      <c r="A45" s="88" t="s">
        <v>166</v>
      </c>
      <c r="B45" s="87"/>
      <c r="C45" s="87">
        <f t="shared" ref="C45:I45" si="26">-C44*0.15</f>
        <v>-37518.08758</v>
      </c>
      <c r="D45" s="87">
        <f t="shared" si="26"/>
        <v>-185837.0102</v>
      </c>
      <c r="E45" s="87">
        <f t="shared" si="26"/>
        <v>-106023.6432</v>
      </c>
      <c r="F45" s="87">
        <f t="shared" si="26"/>
        <v>-189943.0193</v>
      </c>
      <c r="G45" s="87">
        <f t="shared" si="26"/>
        <v>-289975.5249</v>
      </c>
      <c r="H45" s="87">
        <f t="shared" si="26"/>
        <v>-408890.6514</v>
      </c>
      <c r="I45" s="87">
        <f t="shared" si="26"/>
        <v>-549908.5668</v>
      </c>
      <c r="L45" s="86"/>
    </row>
    <row r="46">
      <c r="A46" s="100" t="s">
        <v>167</v>
      </c>
      <c r="B46" s="101"/>
      <c r="C46" s="101">
        <f t="shared" ref="C46:I46" si="27">C44+C45</f>
        <v>212602.4963</v>
      </c>
      <c r="D46" s="101">
        <f t="shared" si="27"/>
        <v>1053076.391</v>
      </c>
      <c r="E46" s="101">
        <f t="shared" si="27"/>
        <v>600800.6449</v>
      </c>
      <c r="F46" s="101">
        <f t="shared" si="27"/>
        <v>1076343.776</v>
      </c>
      <c r="G46" s="101">
        <f t="shared" si="27"/>
        <v>1643194.641</v>
      </c>
      <c r="H46" s="101">
        <f t="shared" si="27"/>
        <v>2317047.025</v>
      </c>
      <c r="I46" s="101">
        <f t="shared" si="27"/>
        <v>3116148.545</v>
      </c>
      <c r="L46" s="86"/>
    </row>
    <row r="47">
      <c r="A47" s="88" t="s">
        <v>169</v>
      </c>
      <c r="B47" s="87"/>
      <c r="C47" s="88">
        <v>-4000000.0</v>
      </c>
      <c r="D47" s="88">
        <v>-4000000.0</v>
      </c>
      <c r="E47" s="87"/>
      <c r="F47" s="87"/>
      <c r="G47" s="87"/>
      <c r="H47" s="87"/>
      <c r="I47" s="87"/>
      <c r="L47" s="86"/>
    </row>
    <row r="48">
      <c r="A48" s="100" t="s">
        <v>170</v>
      </c>
      <c r="B48" s="101"/>
      <c r="C48" s="101">
        <f t="shared" ref="C48:I48" si="28">C46+C47</f>
        <v>-3787397.504</v>
      </c>
      <c r="D48" s="101">
        <f t="shared" si="28"/>
        <v>-2946923.609</v>
      </c>
      <c r="E48" s="101">
        <f t="shared" si="28"/>
        <v>600800.6449</v>
      </c>
      <c r="F48" s="101">
        <f t="shared" si="28"/>
        <v>1076343.776</v>
      </c>
      <c r="G48" s="101">
        <f t="shared" si="28"/>
        <v>1643194.641</v>
      </c>
      <c r="H48" s="101">
        <f t="shared" si="28"/>
        <v>2317047.025</v>
      </c>
      <c r="I48" s="101">
        <f t="shared" si="28"/>
        <v>3116148.545</v>
      </c>
      <c r="J48" s="102"/>
      <c r="L48" s="86"/>
    </row>
    <row r="49">
      <c r="A49" s="88" t="s">
        <v>171</v>
      </c>
      <c r="B49" s="87"/>
      <c r="C49" s="87">
        <f>C48</f>
        <v>-3787397.504</v>
      </c>
      <c r="D49" s="87">
        <f t="shared" ref="D49:I49" si="29">sum(C49,D48)</f>
        <v>-6734321.113</v>
      </c>
      <c r="E49" s="87">
        <f t="shared" si="29"/>
        <v>-6133520.468</v>
      </c>
      <c r="F49" s="87">
        <f t="shared" si="29"/>
        <v>-5057176.691</v>
      </c>
      <c r="G49" s="87">
        <f t="shared" si="29"/>
        <v>-3413982.051</v>
      </c>
      <c r="H49" s="87">
        <f t="shared" si="29"/>
        <v>-1096935.026</v>
      </c>
      <c r="I49" s="87">
        <f t="shared" si="29"/>
        <v>2019213.52</v>
      </c>
      <c r="L49" s="86"/>
    </row>
    <row r="50">
      <c r="A50" s="84"/>
      <c r="B50" s="84"/>
      <c r="C50" s="84"/>
      <c r="D50" s="84"/>
      <c r="E50" s="84"/>
      <c r="F50" s="84"/>
      <c r="G50" s="84"/>
      <c r="H50" s="84"/>
      <c r="I50" s="84"/>
      <c r="L50" s="86"/>
    </row>
    <row r="51">
      <c r="A51" s="84"/>
      <c r="B51" s="84"/>
      <c r="C51" s="84"/>
      <c r="D51" s="84"/>
      <c r="E51" s="84"/>
      <c r="F51" s="84"/>
      <c r="G51" s="84"/>
      <c r="H51" s="84"/>
      <c r="I51" s="84"/>
      <c r="L51" s="86"/>
    </row>
    <row r="52">
      <c r="A52" s="83" t="s">
        <v>172</v>
      </c>
      <c r="B52" s="106">
        <f t="array" ref="B52">NPV(L35, D48:I48) + C48</f>
        <v>-841203.9281</v>
      </c>
      <c r="C52" s="84"/>
      <c r="D52" s="84"/>
      <c r="E52" s="84"/>
      <c r="F52" s="84"/>
      <c r="G52" s="84"/>
      <c r="H52" s="84"/>
      <c r="I52" s="84"/>
      <c r="L52" s="86"/>
    </row>
    <row r="53">
      <c r="A53" s="83" t="s">
        <v>173</v>
      </c>
      <c r="B53" s="107">
        <f>irr(C48:I48)</f>
        <v>0.06384932079</v>
      </c>
      <c r="C53" s="84"/>
      <c r="D53" s="84"/>
      <c r="E53" s="84"/>
      <c r="F53" s="84"/>
      <c r="G53" s="84"/>
      <c r="H53" s="84"/>
      <c r="I53" s="84"/>
      <c r="L53" s="86"/>
    </row>
    <row r="54">
      <c r="A54" s="83" t="s">
        <v>174</v>
      </c>
      <c r="B54" s="108" t="s">
        <v>198</v>
      </c>
      <c r="C54" s="84"/>
      <c r="D54" s="84"/>
      <c r="E54" s="84"/>
      <c r="F54" s="84"/>
      <c r="G54" s="84"/>
      <c r="H54" s="84"/>
      <c r="I54" s="84"/>
      <c r="L54" s="86"/>
    </row>
    <row r="55">
      <c r="A55" s="84"/>
      <c r="B55" s="109"/>
      <c r="L55" s="86"/>
    </row>
    <row r="56">
      <c r="A56" s="110" t="s">
        <v>176</v>
      </c>
      <c r="B56" s="109">
        <f>Invesment!F14</f>
        <v>8000000</v>
      </c>
      <c r="L56" s="86"/>
    </row>
    <row r="57">
      <c r="A57" s="110" t="s">
        <v>177</v>
      </c>
      <c r="B57" s="109">
        <f>sum(E48:I48)</f>
        <v>8753534.632</v>
      </c>
      <c r="L57" s="86"/>
    </row>
    <row r="58">
      <c r="A58" s="110" t="s">
        <v>178</v>
      </c>
      <c r="B58" s="109">
        <f>B57-B56</f>
        <v>753534.6321</v>
      </c>
      <c r="L58" s="86"/>
    </row>
    <row r="59">
      <c r="A59" s="83" t="s">
        <v>179</v>
      </c>
      <c r="B59" s="107">
        <f>B58/B56</f>
        <v>0.09419182902</v>
      </c>
      <c r="L59" s="86"/>
    </row>
    <row r="60">
      <c r="L60" s="86"/>
    </row>
    <row r="61">
      <c r="L61" s="86"/>
    </row>
    <row r="62">
      <c r="L62" s="86"/>
    </row>
    <row r="63">
      <c r="A63" s="115"/>
      <c r="B63" s="115"/>
      <c r="C63" s="115"/>
      <c r="L63" s="86"/>
    </row>
    <row r="64">
      <c r="L64" s="86"/>
    </row>
    <row r="65">
      <c r="D65" s="116"/>
      <c r="E65" s="116"/>
      <c r="F65" s="116"/>
      <c r="L65" s="86"/>
    </row>
    <row r="66">
      <c r="D66" s="116"/>
      <c r="E66" s="116"/>
      <c r="F66" s="116"/>
      <c r="L66" s="86"/>
    </row>
    <row r="67">
      <c r="D67" s="116"/>
      <c r="E67" s="116"/>
      <c r="F67" s="116"/>
      <c r="L67" s="86"/>
    </row>
    <row r="68">
      <c r="D68" s="116"/>
      <c r="E68" s="116"/>
      <c r="F68" s="116"/>
      <c r="L68" s="86"/>
    </row>
    <row r="69">
      <c r="D69" s="116"/>
      <c r="E69" s="116"/>
      <c r="F69" s="116"/>
      <c r="L69" s="86"/>
    </row>
    <row r="70">
      <c r="L70" s="86"/>
    </row>
    <row r="71">
      <c r="L71" s="86"/>
    </row>
    <row r="72">
      <c r="L72" s="86"/>
    </row>
    <row r="73">
      <c r="L73" s="86"/>
    </row>
    <row r="74">
      <c r="L74" s="86"/>
    </row>
    <row r="75">
      <c r="L75" s="86"/>
    </row>
    <row r="76">
      <c r="L76" s="86"/>
    </row>
    <row r="77">
      <c r="L77" s="86"/>
    </row>
    <row r="78">
      <c r="L78" s="86"/>
    </row>
    <row r="79">
      <c r="L79" s="86"/>
    </row>
    <row r="80">
      <c r="L80" s="86"/>
    </row>
    <row r="81">
      <c r="L81" s="86"/>
    </row>
    <row r="82">
      <c r="L82" s="86"/>
    </row>
    <row r="83">
      <c r="L83" s="86"/>
    </row>
    <row r="84">
      <c r="L84" s="86"/>
    </row>
    <row r="85">
      <c r="L85" s="86"/>
    </row>
    <row r="86">
      <c r="L86" s="86"/>
    </row>
    <row r="87">
      <c r="L87" s="86"/>
    </row>
    <row r="88">
      <c r="L88" s="86"/>
    </row>
    <row r="89">
      <c r="L89" s="86"/>
    </row>
    <row r="90">
      <c r="L90" s="86"/>
    </row>
    <row r="91">
      <c r="L91" s="86"/>
    </row>
    <row r="92">
      <c r="L92" s="86"/>
    </row>
    <row r="93">
      <c r="L93" s="86"/>
    </row>
    <row r="94">
      <c r="L94" s="86"/>
    </row>
    <row r="95">
      <c r="L95" s="86"/>
    </row>
    <row r="96">
      <c r="L96" s="86"/>
    </row>
    <row r="97">
      <c r="L97" s="86"/>
    </row>
    <row r="98">
      <c r="L98" s="86"/>
    </row>
    <row r="99">
      <c r="L99" s="86"/>
    </row>
    <row r="100">
      <c r="L100" s="86"/>
    </row>
    <row r="101">
      <c r="L101" s="86"/>
    </row>
    <row r="102">
      <c r="L102" s="86"/>
    </row>
    <row r="103">
      <c r="L103" s="86"/>
    </row>
    <row r="104">
      <c r="L104" s="86"/>
    </row>
    <row r="105">
      <c r="L105" s="86"/>
    </row>
    <row r="106">
      <c r="L106" s="86"/>
    </row>
    <row r="107">
      <c r="L107" s="86"/>
    </row>
    <row r="108">
      <c r="L108" s="86"/>
    </row>
    <row r="109">
      <c r="L109" s="86"/>
    </row>
    <row r="110">
      <c r="L110" s="86"/>
    </row>
    <row r="111">
      <c r="L111" s="86"/>
    </row>
    <row r="112">
      <c r="L112" s="86"/>
    </row>
    <row r="113">
      <c r="L113" s="86"/>
    </row>
    <row r="114">
      <c r="L114" s="86"/>
    </row>
    <row r="115">
      <c r="L115" s="86"/>
    </row>
    <row r="116">
      <c r="L116" s="86"/>
    </row>
    <row r="117">
      <c r="L117" s="86"/>
    </row>
    <row r="118">
      <c r="L118" s="86"/>
    </row>
    <row r="119">
      <c r="L119" s="86"/>
    </row>
    <row r="120">
      <c r="L120" s="86"/>
    </row>
    <row r="121">
      <c r="L121" s="86"/>
    </row>
    <row r="122">
      <c r="L122" s="86"/>
    </row>
    <row r="123">
      <c r="L123" s="86"/>
    </row>
    <row r="124">
      <c r="L124" s="86"/>
    </row>
    <row r="125">
      <c r="L125" s="86"/>
    </row>
    <row r="126">
      <c r="L126" s="86"/>
    </row>
    <row r="127">
      <c r="L127" s="86"/>
    </row>
    <row r="128">
      <c r="L128" s="86"/>
    </row>
    <row r="129">
      <c r="L129" s="86"/>
    </row>
    <row r="130">
      <c r="L130" s="86"/>
    </row>
    <row r="131">
      <c r="L131" s="86"/>
    </row>
    <row r="132">
      <c r="L132" s="86"/>
    </row>
    <row r="133">
      <c r="L133" s="86"/>
    </row>
    <row r="134">
      <c r="L134" s="86"/>
    </row>
    <row r="135">
      <c r="L135" s="86"/>
    </row>
    <row r="136">
      <c r="L136" s="86"/>
    </row>
    <row r="137">
      <c r="L137" s="86"/>
    </row>
    <row r="138">
      <c r="L138" s="86"/>
    </row>
    <row r="139">
      <c r="L139" s="86"/>
    </row>
    <row r="140">
      <c r="L140" s="86"/>
    </row>
    <row r="141">
      <c r="L141" s="86"/>
    </row>
    <row r="142">
      <c r="L142" s="86"/>
    </row>
    <row r="143">
      <c r="L143" s="86"/>
    </row>
    <row r="144">
      <c r="L144" s="86"/>
    </row>
    <row r="145">
      <c r="L145" s="86"/>
    </row>
    <row r="146">
      <c r="L146" s="86"/>
    </row>
    <row r="147">
      <c r="L147" s="86"/>
    </row>
    <row r="148">
      <c r="L148" s="86"/>
    </row>
    <row r="149">
      <c r="L149" s="86"/>
    </row>
    <row r="150">
      <c r="L150" s="86"/>
    </row>
    <row r="151">
      <c r="L151" s="86"/>
    </row>
    <row r="152">
      <c r="L152" s="86"/>
    </row>
    <row r="153">
      <c r="L153" s="86"/>
    </row>
    <row r="154">
      <c r="L154" s="86"/>
    </row>
    <row r="155">
      <c r="L155" s="86"/>
    </row>
    <row r="156">
      <c r="L156" s="86"/>
    </row>
    <row r="157">
      <c r="L157" s="86"/>
    </row>
    <row r="158">
      <c r="L158" s="86"/>
    </row>
    <row r="159">
      <c r="L159" s="86"/>
    </row>
    <row r="160">
      <c r="L160" s="86"/>
    </row>
    <row r="161">
      <c r="L161" s="86"/>
    </row>
    <row r="162">
      <c r="L162" s="86"/>
    </row>
    <row r="163">
      <c r="L163" s="86"/>
    </row>
    <row r="164">
      <c r="L164" s="86"/>
    </row>
    <row r="165">
      <c r="L165" s="86"/>
    </row>
    <row r="166">
      <c r="L166" s="86"/>
    </row>
    <row r="167">
      <c r="L167" s="86"/>
    </row>
    <row r="168">
      <c r="L168" s="86"/>
    </row>
    <row r="169">
      <c r="L169" s="86"/>
    </row>
    <row r="170">
      <c r="L170" s="86"/>
    </row>
    <row r="171">
      <c r="L171" s="86"/>
    </row>
    <row r="172">
      <c r="L172" s="86"/>
    </row>
    <row r="173">
      <c r="L173" s="86"/>
    </row>
    <row r="174">
      <c r="L174" s="86"/>
    </row>
    <row r="175">
      <c r="L175" s="86"/>
    </row>
    <row r="176">
      <c r="L176" s="86"/>
    </row>
    <row r="177">
      <c r="L177" s="86"/>
    </row>
    <row r="178">
      <c r="L178" s="86"/>
    </row>
    <row r="179">
      <c r="L179" s="86"/>
    </row>
    <row r="180">
      <c r="L180" s="86"/>
    </row>
    <row r="181">
      <c r="L181" s="86"/>
    </row>
    <row r="182">
      <c r="L182" s="86"/>
    </row>
    <row r="183">
      <c r="L183" s="86"/>
    </row>
    <row r="184">
      <c r="L184" s="86"/>
    </row>
    <row r="185">
      <c r="L185" s="86"/>
    </row>
    <row r="186">
      <c r="L186" s="86"/>
    </row>
    <row r="187">
      <c r="L187" s="86"/>
    </row>
    <row r="188">
      <c r="L188" s="86"/>
    </row>
    <row r="189">
      <c r="L189" s="86"/>
    </row>
    <row r="190">
      <c r="L190" s="86"/>
    </row>
    <row r="191">
      <c r="L191" s="86"/>
    </row>
    <row r="192">
      <c r="L192" s="86"/>
    </row>
    <row r="193">
      <c r="L193" s="86"/>
    </row>
    <row r="194">
      <c r="L194" s="86"/>
    </row>
    <row r="195">
      <c r="L195" s="86"/>
    </row>
    <row r="196">
      <c r="L196" s="86"/>
    </row>
    <row r="197">
      <c r="L197" s="86"/>
    </row>
    <row r="198">
      <c r="L198" s="86"/>
    </row>
    <row r="199">
      <c r="L199" s="86"/>
    </row>
    <row r="200">
      <c r="L200" s="86"/>
    </row>
    <row r="201">
      <c r="L201" s="86"/>
    </row>
    <row r="202">
      <c r="L202" s="86"/>
    </row>
    <row r="203">
      <c r="L203" s="86"/>
    </row>
    <row r="204">
      <c r="L204" s="86"/>
    </row>
    <row r="205">
      <c r="L205" s="86"/>
    </row>
    <row r="206">
      <c r="L206" s="86"/>
    </row>
    <row r="207">
      <c r="L207" s="86"/>
    </row>
    <row r="208">
      <c r="L208" s="86"/>
    </row>
    <row r="209">
      <c r="L209" s="86"/>
    </row>
    <row r="210">
      <c r="L210" s="86"/>
    </row>
    <row r="211">
      <c r="L211" s="86"/>
    </row>
    <row r="212">
      <c r="L212" s="86"/>
    </row>
    <row r="213">
      <c r="L213" s="86"/>
    </row>
    <row r="214">
      <c r="L214" s="86"/>
    </row>
    <row r="215">
      <c r="L215" s="86"/>
    </row>
    <row r="216">
      <c r="L216" s="86"/>
    </row>
    <row r="217">
      <c r="L217" s="86"/>
    </row>
    <row r="218">
      <c r="L218" s="86"/>
    </row>
    <row r="219">
      <c r="L219" s="86"/>
    </row>
    <row r="220">
      <c r="L220" s="86"/>
    </row>
    <row r="221">
      <c r="L221" s="86"/>
    </row>
    <row r="222">
      <c r="L222" s="86"/>
    </row>
    <row r="223">
      <c r="L223" s="86"/>
    </row>
    <row r="224">
      <c r="L224" s="86"/>
    </row>
    <row r="225">
      <c r="L225" s="86"/>
    </row>
    <row r="226">
      <c r="L226" s="86"/>
    </row>
    <row r="227">
      <c r="L227" s="86"/>
    </row>
    <row r="228">
      <c r="L228" s="86"/>
    </row>
    <row r="229">
      <c r="L229" s="86"/>
    </row>
    <row r="230">
      <c r="L230" s="86"/>
    </row>
    <row r="231">
      <c r="L231" s="86"/>
    </row>
    <row r="232">
      <c r="L232" s="86"/>
    </row>
    <row r="233">
      <c r="L233" s="86"/>
    </row>
    <row r="234">
      <c r="L234" s="86"/>
    </row>
    <row r="235">
      <c r="L235" s="86"/>
    </row>
    <row r="236">
      <c r="L236" s="86"/>
    </row>
    <row r="237">
      <c r="L237" s="86"/>
    </row>
    <row r="238">
      <c r="L238" s="86"/>
    </row>
    <row r="239">
      <c r="L239" s="86"/>
    </row>
    <row r="240">
      <c r="L240" s="86"/>
    </row>
    <row r="241">
      <c r="L241" s="86"/>
    </row>
    <row r="242">
      <c r="L242" s="86"/>
    </row>
    <row r="243">
      <c r="L243" s="86"/>
    </row>
    <row r="244">
      <c r="L244" s="86"/>
    </row>
    <row r="245">
      <c r="L245" s="86"/>
    </row>
    <row r="246">
      <c r="L246" s="86"/>
    </row>
    <row r="247">
      <c r="L247" s="86"/>
    </row>
    <row r="248">
      <c r="L248" s="86"/>
    </row>
    <row r="249">
      <c r="L249" s="86"/>
    </row>
    <row r="250">
      <c r="L250" s="86"/>
    </row>
    <row r="251">
      <c r="L251" s="86"/>
    </row>
    <row r="252">
      <c r="L252" s="86"/>
    </row>
    <row r="253">
      <c r="L253" s="86"/>
    </row>
    <row r="254">
      <c r="L254" s="86"/>
    </row>
    <row r="255">
      <c r="L255" s="86"/>
    </row>
    <row r="256">
      <c r="L256" s="86"/>
    </row>
    <row r="257">
      <c r="L257" s="86"/>
    </row>
    <row r="258">
      <c r="L258" s="86"/>
    </row>
    <row r="259">
      <c r="L259" s="86"/>
    </row>
    <row r="260">
      <c r="L260" s="86"/>
    </row>
    <row r="261">
      <c r="L261" s="86"/>
    </row>
    <row r="262">
      <c r="L262" s="86"/>
    </row>
    <row r="263">
      <c r="L263" s="86"/>
    </row>
    <row r="264">
      <c r="L264" s="86"/>
    </row>
    <row r="265">
      <c r="L265" s="86"/>
    </row>
    <row r="266">
      <c r="L266" s="86"/>
    </row>
    <row r="267">
      <c r="L267" s="86"/>
    </row>
    <row r="268">
      <c r="L268" s="86"/>
    </row>
    <row r="269">
      <c r="L269" s="86"/>
    </row>
    <row r="270">
      <c r="L270" s="86"/>
    </row>
    <row r="271">
      <c r="L271" s="86"/>
    </row>
    <row r="272">
      <c r="L272" s="86"/>
    </row>
    <row r="273">
      <c r="L273" s="86"/>
    </row>
    <row r="274">
      <c r="L274" s="86"/>
    </row>
    <row r="275">
      <c r="L275" s="86"/>
    </row>
    <row r="276">
      <c r="L276" s="86"/>
    </row>
    <row r="277">
      <c r="L277" s="86"/>
    </row>
    <row r="278">
      <c r="L278" s="86"/>
    </row>
    <row r="279">
      <c r="L279" s="86"/>
    </row>
    <row r="280">
      <c r="L280" s="86"/>
    </row>
    <row r="281">
      <c r="L281" s="86"/>
    </row>
    <row r="282">
      <c r="L282" s="86"/>
    </row>
    <row r="283">
      <c r="L283" s="86"/>
    </row>
    <row r="284">
      <c r="L284" s="86"/>
    </row>
    <row r="285">
      <c r="L285" s="86"/>
    </row>
    <row r="286">
      <c r="L286" s="86"/>
    </row>
    <row r="287">
      <c r="L287" s="86"/>
    </row>
    <row r="288">
      <c r="L288" s="86"/>
    </row>
    <row r="289">
      <c r="L289" s="86"/>
    </row>
    <row r="290">
      <c r="L290" s="86"/>
    </row>
    <row r="291">
      <c r="L291" s="86"/>
    </row>
    <row r="292">
      <c r="L292" s="86"/>
    </row>
    <row r="293">
      <c r="L293" s="86"/>
    </row>
    <row r="294">
      <c r="L294" s="86"/>
    </row>
    <row r="295">
      <c r="L295" s="86"/>
    </row>
    <row r="296">
      <c r="L296" s="86"/>
    </row>
    <row r="297">
      <c r="L297" s="86"/>
    </row>
    <row r="298">
      <c r="L298" s="86"/>
    </row>
    <row r="299">
      <c r="L299" s="86"/>
    </row>
    <row r="300">
      <c r="L300" s="86"/>
    </row>
    <row r="301">
      <c r="L301" s="86"/>
    </row>
    <row r="302">
      <c r="L302" s="86"/>
    </row>
    <row r="303">
      <c r="L303" s="86"/>
    </row>
    <row r="304">
      <c r="L304" s="86"/>
    </row>
    <row r="305">
      <c r="L305" s="86"/>
    </row>
    <row r="306">
      <c r="L306" s="86"/>
    </row>
    <row r="307">
      <c r="L307" s="86"/>
    </row>
    <row r="308">
      <c r="L308" s="86"/>
    </row>
    <row r="309">
      <c r="L309" s="86"/>
    </row>
    <row r="310">
      <c r="L310" s="86"/>
    </row>
    <row r="311">
      <c r="L311" s="86"/>
    </row>
    <row r="312">
      <c r="L312" s="86"/>
    </row>
    <row r="313">
      <c r="L313" s="86"/>
    </row>
    <row r="314">
      <c r="L314" s="86"/>
    </row>
    <row r="315">
      <c r="L315" s="86"/>
    </row>
    <row r="316">
      <c r="L316" s="86"/>
    </row>
    <row r="317">
      <c r="L317" s="86"/>
    </row>
    <row r="318">
      <c r="L318" s="86"/>
    </row>
    <row r="319">
      <c r="L319" s="86"/>
    </row>
    <row r="320">
      <c r="L320" s="86"/>
    </row>
    <row r="321">
      <c r="L321" s="86"/>
    </row>
    <row r="322">
      <c r="L322" s="86"/>
    </row>
    <row r="323">
      <c r="L323" s="86"/>
    </row>
    <row r="324">
      <c r="L324" s="86"/>
    </row>
    <row r="325">
      <c r="L325" s="86"/>
    </row>
    <row r="326">
      <c r="L326" s="86"/>
    </row>
    <row r="327">
      <c r="L327" s="86"/>
    </row>
    <row r="328">
      <c r="L328" s="86"/>
    </row>
    <row r="329">
      <c r="L329" s="86"/>
    </row>
    <row r="330">
      <c r="L330" s="86"/>
    </row>
    <row r="331">
      <c r="L331" s="86"/>
    </row>
    <row r="332">
      <c r="L332" s="86"/>
    </row>
    <row r="333">
      <c r="L333" s="86"/>
    </row>
    <row r="334">
      <c r="L334" s="86"/>
    </row>
    <row r="335">
      <c r="L335" s="86"/>
    </row>
    <row r="336">
      <c r="L336" s="86"/>
    </row>
    <row r="337">
      <c r="L337" s="86"/>
    </row>
    <row r="338">
      <c r="L338" s="86"/>
    </row>
    <row r="339">
      <c r="L339" s="86"/>
    </row>
    <row r="340">
      <c r="L340" s="86"/>
    </row>
    <row r="341">
      <c r="L341" s="86"/>
    </row>
    <row r="342">
      <c r="L342" s="86"/>
    </row>
    <row r="343">
      <c r="L343" s="86"/>
    </row>
    <row r="344">
      <c r="L344" s="86"/>
    </row>
    <row r="345">
      <c r="L345" s="86"/>
    </row>
    <row r="346">
      <c r="L346" s="86"/>
    </row>
    <row r="347">
      <c r="L347" s="86"/>
    </row>
    <row r="348">
      <c r="L348" s="86"/>
    </row>
    <row r="349">
      <c r="L349" s="86"/>
    </row>
    <row r="350">
      <c r="L350" s="86"/>
    </row>
    <row r="351">
      <c r="L351" s="86"/>
    </row>
    <row r="352">
      <c r="L352" s="86"/>
    </row>
    <row r="353">
      <c r="L353" s="86"/>
    </row>
    <row r="354">
      <c r="L354" s="86"/>
    </row>
    <row r="355">
      <c r="L355" s="86"/>
    </row>
    <row r="356">
      <c r="L356" s="86"/>
    </row>
    <row r="357">
      <c r="L357" s="86"/>
    </row>
    <row r="358">
      <c r="L358" s="86"/>
    </row>
    <row r="359">
      <c r="L359" s="86"/>
    </row>
    <row r="360">
      <c r="L360" s="86"/>
    </row>
    <row r="361">
      <c r="L361" s="86"/>
    </row>
    <row r="362">
      <c r="L362" s="86"/>
    </row>
    <row r="363">
      <c r="L363" s="86"/>
    </row>
    <row r="364">
      <c r="L364" s="86"/>
    </row>
    <row r="365">
      <c r="L365" s="86"/>
    </row>
    <row r="366">
      <c r="L366" s="86"/>
    </row>
    <row r="367">
      <c r="L367" s="86"/>
    </row>
    <row r="368">
      <c r="L368" s="86"/>
    </row>
    <row r="369">
      <c r="L369" s="86"/>
    </row>
    <row r="370">
      <c r="L370" s="86"/>
    </row>
    <row r="371">
      <c r="L371" s="86"/>
    </row>
    <row r="372">
      <c r="L372" s="86"/>
    </row>
    <row r="373">
      <c r="L373" s="86"/>
    </row>
    <row r="374">
      <c r="L374" s="86"/>
    </row>
    <row r="375">
      <c r="L375" s="86"/>
    </row>
    <row r="376">
      <c r="L376" s="86"/>
    </row>
    <row r="377">
      <c r="L377" s="86"/>
    </row>
    <row r="378">
      <c r="L378" s="86"/>
    </row>
    <row r="379">
      <c r="L379" s="86"/>
    </row>
    <row r="380">
      <c r="L380" s="86"/>
    </row>
    <row r="381">
      <c r="L381" s="86"/>
    </row>
    <row r="382">
      <c r="L382" s="86"/>
    </row>
    <row r="383">
      <c r="L383" s="86"/>
    </row>
    <row r="384">
      <c r="L384" s="86"/>
    </row>
    <row r="385">
      <c r="L385" s="86"/>
    </row>
    <row r="386">
      <c r="L386" s="86"/>
    </row>
    <row r="387">
      <c r="L387" s="86"/>
    </row>
    <row r="388">
      <c r="L388" s="86"/>
    </row>
    <row r="389">
      <c r="L389" s="86"/>
    </row>
    <row r="390">
      <c r="L390" s="86"/>
    </row>
    <row r="391">
      <c r="L391" s="86"/>
    </row>
    <row r="392">
      <c r="L392" s="86"/>
    </row>
    <row r="393">
      <c r="L393" s="86"/>
    </row>
    <row r="394">
      <c r="L394" s="86"/>
    </row>
    <row r="395">
      <c r="L395" s="86"/>
    </row>
    <row r="396">
      <c r="L396" s="86"/>
    </row>
    <row r="397">
      <c r="L397" s="86"/>
    </row>
    <row r="398">
      <c r="L398" s="86"/>
    </row>
    <row r="399">
      <c r="L399" s="86"/>
    </row>
    <row r="400">
      <c r="L400" s="86"/>
    </row>
    <row r="401">
      <c r="L401" s="86"/>
    </row>
    <row r="402">
      <c r="L402" s="86"/>
    </row>
    <row r="403">
      <c r="L403" s="86"/>
    </row>
    <row r="404">
      <c r="L404" s="86"/>
    </row>
    <row r="405">
      <c r="L405" s="86"/>
    </row>
    <row r="406">
      <c r="L406" s="86"/>
    </row>
    <row r="407">
      <c r="L407" s="86"/>
    </row>
    <row r="408">
      <c r="L408" s="86"/>
    </row>
    <row r="409">
      <c r="L409" s="86"/>
    </row>
    <row r="410">
      <c r="L410" s="86"/>
    </row>
    <row r="411">
      <c r="L411" s="86"/>
    </row>
    <row r="412">
      <c r="L412" s="86"/>
    </row>
    <row r="413">
      <c r="L413" s="86"/>
    </row>
    <row r="414">
      <c r="L414" s="86"/>
    </row>
    <row r="415">
      <c r="L415" s="86"/>
    </row>
    <row r="416">
      <c r="L416" s="86"/>
    </row>
    <row r="417">
      <c r="L417" s="86"/>
    </row>
    <row r="418">
      <c r="L418" s="86"/>
    </row>
    <row r="419">
      <c r="L419" s="86"/>
    </row>
    <row r="420">
      <c r="L420" s="86"/>
    </row>
    <row r="421">
      <c r="L421" s="86"/>
    </row>
    <row r="422">
      <c r="L422" s="86"/>
    </row>
    <row r="423">
      <c r="L423" s="86"/>
    </row>
    <row r="424">
      <c r="L424" s="86"/>
    </row>
    <row r="425">
      <c r="L425" s="86"/>
    </row>
    <row r="426">
      <c r="L426" s="86"/>
    </row>
    <row r="427">
      <c r="L427" s="86"/>
    </row>
    <row r="428">
      <c r="L428" s="86"/>
    </row>
    <row r="429">
      <c r="L429" s="86"/>
    </row>
    <row r="430">
      <c r="L430" s="86"/>
    </row>
    <row r="431">
      <c r="L431" s="86"/>
    </row>
    <row r="432">
      <c r="L432" s="86"/>
    </row>
    <row r="433">
      <c r="L433" s="86"/>
    </row>
    <row r="434">
      <c r="L434" s="86"/>
    </row>
    <row r="435">
      <c r="L435" s="86"/>
    </row>
    <row r="436">
      <c r="L436" s="86"/>
    </row>
    <row r="437">
      <c r="L437" s="86"/>
    </row>
    <row r="438">
      <c r="L438" s="86"/>
    </row>
    <row r="439">
      <c r="L439" s="86"/>
    </row>
    <row r="440">
      <c r="L440" s="86"/>
    </row>
    <row r="441">
      <c r="L441" s="86"/>
    </row>
    <row r="442">
      <c r="L442" s="86"/>
    </row>
    <row r="443">
      <c r="L443" s="86"/>
    </row>
    <row r="444">
      <c r="L444" s="86"/>
    </row>
    <row r="445">
      <c r="L445" s="86"/>
    </row>
    <row r="446">
      <c r="L446" s="86"/>
    </row>
    <row r="447">
      <c r="L447" s="86"/>
    </row>
    <row r="448">
      <c r="L448" s="86"/>
    </row>
    <row r="449">
      <c r="L449" s="86"/>
    </row>
    <row r="450">
      <c r="L450" s="86"/>
    </row>
    <row r="451">
      <c r="L451" s="86"/>
    </row>
    <row r="452">
      <c r="L452" s="86"/>
    </row>
    <row r="453">
      <c r="L453" s="86"/>
    </row>
    <row r="454">
      <c r="L454" s="86"/>
    </row>
    <row r="455">
      <c r="L455" s="86"/>
    </row>
    <row r="456">
      <c r="L456" s="86"/>
    </row>
    <row r="457">
      <c r="L457" s="86"/>
    </row>
    <row r="458">
      <c r="L458" s="86"/>
    </row>
    <row r="459">
      <c r="L459" s="86"/>
    </row>
    <row r="460">
      <c r="L460" s="86"/>
    </row>
    <row r="461">
      <c r="L461" s="86"/>
    </row>
    <row r="462">
      <c r="L462" s="86"/>
    </row>
    <row r="463">
      <c r="L463" s="86"/>
    </row>
    <row r="464">
      <c r="L464" s="86"/>
    </row>
    <row r="465">
      <c r="L465" s="86"/>
    </row>
    <row r="466">
      <c r="L466" s="86"/>
    </row>
    <row r="467">
      <c r="L467" s="86"/>
    </row>
    <row r="468">
      <c r="L468" s="86"/>
    </row>
    <row r="469">
      <c r="L469" s="86"/>
    </row>
    <row r="470">
      <c r="L470" s="86"/>
    </row>
    <row r="471">
      <c r="L471" s="86"/>
    </row>
    <row r="472">
      <c r="L472" s="86"/>
    </row>
    <row r="473">
      <c r="L473" s="86"/>
    </row>
    <row r="474">
      <c r="L474" s="86"/>
    </row>
    <row r="475">
      <c r="L475" s="86"/>
    </row>
    <row r="476">
      <c r="L476" s="86"/>
    </row>
    <row r="477">
      <c r="L477" s="86"/>
    </row>
    <row r="478">
      <c r="L478" s="86"/>
    </row>
    <row r="479">
      <c r="L479" s="86"/>
    </row>
    <row r="480">
      <c r="L480" s="86"/>
    </row>
    <row r="481">
      <c r="L481" s="86"/>
    </row>
    <row r="482">
      <c r="L482" s="86"/>
    </row>
    <row r="483">
      <c r="L483" s="86"/>
    </row>
    <row r="484">
      <c r="L484" s="86"/>
    </row>
    <row r="485">
      <c r="L485" s="86"/>
    </row>
    <row r="486">
      <c r="L486" s="86"/>
    </row>
    <row r="487">
      <c r="L487" s="86"/>
    </row>
    <row r="488">
      <c r="L488" s="86"/>
    </row>
    <row r="489">
      <c r="L489" s="86"/>
    </row>
    <row r="490">
      <c r="L490" s="86"/>
    </row>
    <row r="491">
      <c r="L491" s="86"/>
    </row>
    <row r="492">
      <c r="L492" s="86"/>
    </row>
    <row r="493">
      <c r="L493" s="86"/>
    </row>
    <row r="494">
      <c r="L494" s="86"/>
    </row>
    <row r="495">
      <c r="L495" s="86"/>
    </row>
    <row r="496">
      <c r="L496" s="86"/>
    </row>
    <row r="497">
      <c r="L497" s="86"/>
    </row>
    <row r="498">
      <c r="L498" s="86"/>
    </row>
    <row r="499">
      <c r="L499" s="86"/>
    </row>
    <row r="500">
      <c r="L500" s="86"/>
    </row>
    <row r="501">
      <c r="L501" s="86"/>
    </row>
    <row r="502">
      <c r="L502" s="86"/>
    </row>
    <row r="503">
      <c r="L503" s="86"/>
    </row>
    <row r="504">
      <c r="L504" s="86"/>
    </row>
    <row r="505">
      <c r="L505" s="86"/>
    </row>
    <row r="506">
      <c r="L506" s="86"/>
    </row>
    <row r="507">
      <c r="L507" s="86"/>
    </row>
    <row r="508">
      <c r="L508" s="86"/>
    </row>
    <row r="509">
      <c r="L509" s="86"/>
    </row>
    <row r="510">
      <c r="L510" s="86"/>
    </row>
    <row r="511">
      <c r="L511" s="86"/>
    </row>
    <row r="512">
      <c r="L512" s="86"/>
    </row>
    <row r="513">
      <c r="L513" s="86"/>
    </row>
    <row r="514">
      <c r="L514" s="86"/>
    </row>
    <row r="515">
      <c r="L515" s="86"/>
    </row>
    <row r="516">
      <c r="L516" s="86"/>
    </row>
    <row r="517">
      <c r="L517" s="86"/>
    </row>
    <row r="518">
      <c r="L518" s="86"/>
    </row>
    <row r="519">
      <c r="L519" s="86"/>
    </row>
    <row r="520">
      <c r="L520" s="86"/>
    </row>
    <row r="521">
      <c r="L521" s="86"/>
    </row>
    <row r="522">
      <c r="L522" s="86"/>
    </row>
    <row r="523">
      <c r="L523" s="86"/>
    </row>
    <row r="524">
      <c r="L524" s="86"/>
    </row>
    <row r="525">
      <c r="L525" s="86"/>
    </row>
    <row r="526">
      <c r="L526" s="86"/>
    </row>
    <row r="527">
      <c r="L527" s="86"/>
    </row>
    <row r="528">
      <c r="L528" s="86"/>
    </row>
    <row r="529">
      <c r="L529" s="86"/>
    </row>
    <row r="530">
      <c r="L530" s="86"/>
    </row>
    <row r="531">
      <c r="L531" s="86"/>
    </row>
    <row r="532">
      <c r="L532" s="86"/>
    </row>
    <row r="533">
      <c r="L533" s="86"/>
    </row>
    <row r="534">
      <c r="L534" s="86"/>
    </row>
    <row r="535">
      <c r="L535" s="86"/>
    </row>
    <row r="536">
      <c r="L536" s="86"/>
    </row>
    <row r="537">
      <c r="L537" s="86"/>
    </row>
    <row r="538">
      <c r="L538" s="86"/>
    </row>
    <row r="539">
      <c r="L539" s="86"/>
    </row>
    <row r="540">
      <c r="L540" s="86"/>
    </row>
    <row r="541">
      <c r="L541" s="86"/>
    </row>
    <row r="542">
      <c r="L542" s="86"/>
    </row>
    <row r="543">
      <c r="L543" s="86"/>
    </row>
    <row r="544">
      <c r="L544" s="86"/>
    </row>
    <row r="545">
      <c r="L545" s="86"/>
    </row>
    <row r="546">
      <c r="L546" s="86"/>
    </row>
    <row r="547">
      <c r="L547" s="86"/>
    </row>
    <row r="548">
      <c r="L548" s="86"/>
    </row>
    <row r="549">
      <c r="L549" s="86"/>
    </row>
    <row r="550">
      <c r="L550" s="86"/>
    </row>
    <row r="551">
      <c r="L551" s="86"/>
    </row>
    <row r="552">
      <c r="L552" s="86"/>
    </row>
    <row r="553">
      <c r="L553" s="86"/>
    </row>
    <row r="554">
      <c r="L554" s="86"/>
    </row>
    <row r="555">
      <c r="L555" s="86"/>
    </row>
    <row r="556">
      <c r="L556" s="86"/>
    </row>
    <row r="557">
      <c r="L557" s="86"/>
    </row>
    <row r="558">
      <c r="L558" s="86"/>
    </row>
    <row r="559">
      <c r="L559" s="86"/>
    </row>
    <row r="560">
      <c r="L560" s="86"/>
    </row>
    <row r="561">
      <c r="L561" s="86"/>
    </row>
    <row r="562">
      <c r="L562" s="86"/>
    </row>
    <row r="563">
      <c r="L563" s="86"/>
    </row>
    <row r="564">
      <c r="L564" s="86"/>
    </row>
    <row r="565">
      <c r="L565" s="86"/>
    </row>
    <row r="566">
      <c r="L566" s="86"/>
    </row>
    <row r="567">
      <c r="L567" s="86"/>
    </row>
    <row r="568">
      <c r="L568" s="86"/>
    </row>
    <row r="569">
      <c r="L569" s="86"/>
    </row>
    <row r="570">
      <c r="L570" s="86"/>
    </row>
    <row r="571">
      <c r="L571" s="86"/>
    </row>
    <row r="572">
      <c r="L572" s="86"/>
    </row>
    <row r="573">
      <c r="L573" s="86"/>
    </row>
    <row r="574">
      <c r="L574" s="86"/>
    </row>
    <row r="575">
      <c r="L575" s="86"/>
    </row>
    <row r="576">
      <c r="L576" s="86"/>
    </row>
    <row r="577">
      <c r="L577" s="86"/>
    </row>
    <row r="578">
      <c r="L578" s="86"/>
    </row>
    <row r="579">
      <c r="L579" s="86"/>
    </row>
    <row r="580">
      <c r="L580" s="86"/>
    </row>
    <row r="581">
      <c r="L581" s="86"/>
    </row>
    <row r="582">
      <c r="L582" s="86"/>
    </row>
    <row r="583">
      <c r="L583" s="86"/>
    </row>
    <row r="584">
      <c r="L584" s="86"/>
    </row>
    <row r="585">
      <c r="L585" s="86"/>
    </row>
    <row r="586">
      <c r="L586" s="86"/>
    </row>
    <row r="587">
      <c r="L587" s="86"/>
    </row>
    <row r="588">
      <c r="L588" s="86"/>
    </row>
    <row r="589">
      <c r="L589" s="86"/>
    </row>
    <row r="590">
      <c r="L590" s="86"/>
    </row>
    <row r="591">
      <c r="L591" s="86"/>
    </row>
    <row r="592">
      <c r="L592" s="86"/>
    </row>
    <row r="593">
      <c r="L593" s="86"/>
    </row>
    <row r="594">
      <c r="L594" s="86"/>
    </row>
    <row r="595">
      <c r="L595" s="86"/>
    </row>
    <row r="596">
      <c r="L596" s="86"/>
    </row>
    <row r="597">
      <c r="L597" s="86"/>
    </row>
    <row r="598">
      <c r="L598" s="86"/>
    </row>
    <row r="599">
      <c r="L599" s="86"/>
    </row>
    <row r="600">
      <c r="L600" s="86"/>
    </row>
    <row r="601">
      <c r="L601" s="86"/>
    </row>
    <row r="602">
      <c r="L602" s="86"/>
    </row>
    <row r="603">
      <c r="L603" s="86"/>
    </row>
    <row r="604">
      <c r="L604" s="86"/>
    </row>
    <row r="605">
      <c r="L605" s="86"/>
    </row>
    <row r="606">
      <c r="L606" s="86"/>
    </row>
    <row r="607">
      <c r="L607" s="86"/>
    </row>
    <row r="608">
      <c r="L608" s="86"/>
    </row>
    <row r="609">
      <c r="L609" s="86"/>
    </row>
    <row r="610">
      <c r="L610" s="86"/>
    </row>
    <row r="611">
      <c r="L611" s="86"/>
    </row>
    <row r="612">
      <c r="L612" s="86"/>
    </row>
    <row r="613">
      <c r="L613" s="86"/>
    </row>
    <row r="614">
      <c r="L614" s="86"/>
    </row>
    <row r="615">
      <c r="L615" s="86"/>
    </row>
    <row r="616">
      <c r="L616" s="86"/>
    </row>
    <row r="617">
      <c r="L617" s="86"/>
    </row>
    <row r="618">
      <c r="L618" s="86"/>
    </row>
    <row r="619">
      <c r="L619" s="86"/>
    </row>
    <row r="620">
      <c r="L620" s="86"/>
    </row>
    <row r="621">
      <c r="L621" s="86"/>
    </row>
    <row r="622">
      <c r="L622" s="86"/>
    </row>
    <row r="623">
      <c r="L623" s="86"/>
    </row>
    <row r="624">
      <c r="L624" s="86"/>
    </row>
    <row r="625">
      <c r="L625" s="86"/>
    </row>
    <row r="626">
      <c r="L626" s="86"/>
    </row>
    <row r="627">
      <c r="L627" s="86"/>
    </row>
    <row r="628">
      <c r="L628" s="86"/>
    </row>
    <row r="629">
      <c r="L629" s="86"/>
    </row>
    <row r="630">
      <c r="L630" s="86"/>
    </row>
    <row r="631">
      <c r="L631" s="86"/>
    </row>
    <row r="632">
      <c r="L632" s="86"/>
    </row>
    <row r="633">
      <c r="L633" s="86"/>
    </row>
    <row r="634">
      <c r="L634" s="86"/>
    </row>
    <row r="635">
      <c r="L635" s="86"/>
    </row>
    <row r="636">
      <c r="L636" s="86"/>
    </row>
    <row r="637">
      <c r="L637" s="86"/>
    </row>
    <row r="638">
      <c r="L638" s="86"/>
    </row>
    <row r="639">
      <c r="L639" s="86"/>
    </row>
    <row r="640">
      <c r="L640" s="86"/>
    </row>
    <row r="641">
      <c r="L641" s="86"/>
    </row>
    <row r="642">
      <c r="L642" s="86"/>
    </row>
    <row r="643">
      <c r="L643" s="86"/>
    </row>
    <row r="644">
      <c r="L644" s="86"/>
    </row>
    <row r="645">
      <c r="L645" s="86"/>
    </row>
    <row r="646">
      <c r="L646" s="86"/>
    </row>
    <row r="647">
      <c r="L647" s="86"/>
    </row>
    <row r="648">
      <c r="L648" s="86"/>
    </row>
    <row r="649">
      <c r="L649" s="86"/>
    </row>
    <row r="650">
      <c r="L650" s="86"/>
    </row>
    <row r="651">
      <c r="L651" s="86"/>
    </row>
    <row r="652">
      <c r="L652" s="86"/>
    </row>
    <row r="653">
      <c r="L653" s="86"/>
    </row>
    <row r="654">
      <c r="L654" s="86"/>
    </row>
    <row r="655">
      <c r="L655" s="86"/>
    </row>
    <row r="656">
      <c r="L656" s="86"/>
    </row>
    <row r="657">
      <c r="L657" s="86"/>
    </row>
    <row r="658">
      <c r="L658" s="86"/>
    </row>
    <row r="659">
      <c r="L659" s="86"/>
    </row>
    <row r="660">
      <c r="L660" s="86"/>
    </row>
    <row r="661">
      <c r="L661" s="86"/>
    </row>
    <row r="662">
      <c r="L662" s="86"/>
    </row>
    <row r="663">
      <c r="L663" s="86"/>
    </row>
    <row r="664">
      <c r="L664" s="86"/>
    </row>
    <row r="665">
      <c r="L665" s="86"/>
    </row>
    <row r="666">
      <c r="L666" s="86"/>
    </row>
    <row r="667">
      <c r="L667" s="86"/>
    </row>
    <row r="668">
      <c r="L668" s="86"/>
    </row>
    <row r="669">
      <c r="L669" s="86"/>
    </row>
    <row r="670">
      <c r="L670" s="86"/>
    </row>
    <row r="671">
      <c r="L671" s="86"/>
    </row>
    <row r="672">
      <c r="L672" s="86"/>
    </row>
    <row r="673">
      <c r="L673" s="86"/>
    </row>
    <row r="674">
      <c r="L674" s="86"/>
    </row>
    <row r="675">
      <c r="L675" s="86"/>
    </row>
    <row r="676">
      <c r="L676" s="86"/>
    </row>
    <row r="677">
      <c r="L677" s="86"/>
    </row>
    <row r="678">
      <c r="L678" s="86"/>
    </row>
    <row r="679">
      <c r="L679" s="86"/>
    </row>
    <row r="680">
      <c r="L680" s="86"/>
    </row>
    <row r="681">
      <c r="L681" s="86"/>
    </row>
    <row r="682">
      <c r="L682" s="86"/>
    </row>
    <row r="683">
      <c r="L683" s="86"/>
    </row>
    <row r="684">
      <c r="L684" s="86"/>
    </row>
    <row r="685">
      <c r="L685" s="86"/>
    </row>
    <row r="686">
      <c r="L686" s="86"/>
    </row>
    <row r="687">
      <c r="L687" s="86"/>
    </row>
    <row r="688">
      <c r="L688" s="86"/>
    </row>
    <row r="689">
      <c r="L689" s="86"/>
    </row>
    <row r="690">
      <c r="L690" s="86"/>
    </row>
    <row r="691">
      <c r="L691" s="86"/>
    </row>
    <row r="692">
      <c r="L692" s="86"/>
    </row>
    <row r="693">
      <c r="L693" s="86"/>
    </row>
    <row r="694">
      <c r="L694" s="86"/>
    </row>
    <row r="695">
      <c r="L695" s="86"/>
    </row>
    <row r="696">
      <c r="L696" s="86"/>
    </row>
    <row r="697">
      <c r="L697" s="86"/>
    </row>
    <row r="698">
      <c r="L698" s="86"/>
    </row>
    <row r="699">
      <c r="L699" s="86"/>
    </row>
    <row r="700">
      <c r="L700" s="86"/>
    </row>
    <row r="701">
      <c r="L701" s="86"/>
    </row>
    <row r="702">
      <c r="L702" s="86"/>
    </row>
    <row r="703">
      <c r="L703" s="86"/>
    </row>
    <row r="704">
      <c r="L704" s="86"/>
    </row>
    <row r="705">
      <c r="L705" s="86"/>
    </row>
    <row r="706">
      <c r="L706" s="86"/>
    </row>
    <row r="707">
      <c r="L707" s="86"/>
    </row>
    <row r="708">
      <c r="L708" s="86"/>
    </row>
    <row r="709">
      <c r="L709" s="86"/>
    </row>
    <row r="710">
      <c r="L710" s="86"/>
    </row>
    <row r="711">
      <c r="L711" s="86"/>
    </row>
    <row r="712">
      <c r="L712" s="86"/>
    </row>
    <row r="713">
      <c r="L713" s="86"/>
    </row>
    <row r="714">
      <c r="L714" s="86"/>
    </row>
    <row r="715">
      <c r="L715" s="86"/>
    </row>
    <row r="716">
      <c r="L716" s="86"/>
    </row>
    <row r="717">
      <c r="L717" s="86"/>
    </row>
    <row r="718">
      <c r="L718" s="86"/>
    </row>
    <row r="719">
      <c r="L719" s="86"/>
    </row>
    <row r="720">
      <c r="L720" s="86"/>
    </row>
    <row r="721">
      <c r="L721" s="86"/>
    </row>
    <row r="722">
      <c r="L722" s="86"/>
    </row>
    <row r="723">
      <c r="L723" s="86"/>
    </row>
    <row r="724">
      <c r="L724" s="86"/>
    </row>
    <row r="725">
      <c r="L725" s="86"/>
    </row>
    <row r="726">
      <c r="L726" s="86"/>
    </row>
    <row r="727">
      <c r="L727" s="86"/>
    </row>
    <row r="728">
      <c r="L728" s="86"/>
    </row>
    <row r="729">
      <c r="L729" s="86"/>
    </row>
    <row r="730">
      <c r="L730" s="86"/>
    </row>
    <row r="731">
      <c r="L731" s="86"/>
    </row>
    <row r="732">
      <c r="L732" s="86"/>
    </row>
    <row r="733">
      <c r="L733" s="86"/>
    </row>
    <row r="734">
      <c r="L734" s="86"/>
    </row>
    <row r="735">
      <c r="L735" s="86"/>
    </row>
    <row r="736">
      <c r="L736" s="86"/>
    </row>
    <row r="737">
      <c r="L737" s="86"/>
    </row>
    <row r="738">
      <c r="L738" s="86"/>
    </row>
    <row r="739">
      <c r="L739" s="86"/>
    </row>
    <row r="740">
      <c r="L740" s="86"/>
    </row>
    <row r="741">
      <c r="L741" s="86"/>
    </row>
    <row r="742">
      <c r="L742" s="86"/>
    </row>
    <row r="743">
      <c r="L743" s="86"/>
    </row>
    <row r="744">
      <c r="L744" s="86"/>
    </row>
    <row r="745">
      <c r="L745" s="86"/>
    </row>
    <row r="746">
      <c r="L746" s="86"/>
    </row>
    <row r="747">
      <c r="L747" s="86"/>
    </row>
    <row r="748">
      <c r="L748" s="86"/>
    </row>
    <row r="749">
      <c r="L749" s="86"/>
    </row>
    <row r="750">
      <c r="L750" s="86"/>
    </row>
    <row r="751">
      <c r="L751" s="86"/>
    </row>
    <row r="752">
      <c r="L752" s="86"/>
    </row>
    <row r="753">
      <c r="L753" s="86"/>
    </row>
    <row r="754">
      <c r="L754" s="86"/>
    </row>
    <row r="755">
      <c r="L755" s="86"/>
    </row>
    <row r="756">
      <c r="L756" s="86"/>
    </row>
    <row r="757">
      <c r="L757" s="86"/>
    </row>
    <row r="758">
      <c r="L758" s="86"/>
    </row>
    <row r="759">
      <c r="L759" s="86"/>
    </row>
    <row r="760">
      <c r="L760" s="86"/>
    </row>
    <row r="761">
      <c r="L761" s="86"/>
    </row>
    <row r="762">
      <c r="L762" s="86"/>
    </row>
    <row r="763">
      <c r="L763" s="86"/>
    </row>
    <row r="764">
      <c r="L764" s="86"/>
    </row>
    <row r="765">
      <c r="L765" s="86"/>
    </row>
    <row r="766">
      <c r="L766" s="86"/>
    </row>
    <row r="767">
      <c r="L767" s="86"/>
    </row>
    <row r="768">
      <c r="L768" s="86"/>
    </row>
    <row r="769">
      <c r="L769" s="86"/>
    </row>
    <row r="770">
      <c r="L770" s="86"/>
    </row>
    <row r="771">
      <c r="L771" s="86"/>
    </row>
    <row r="772">
      <c r="L772" s="86"/>
    </row>
    <row r="773">
      <c r="L773" s="86"/>
    </row>
    <row r="774">
      <c r="L774" s="86"/>
    </row>
    <row r="775">
      <c r="L775" s="86"/>
    </row>
    <row r="776">
      <c r="L776" s="86"/>
    </row>
    <row r="777">
      <c r="L777" s="86"/>
    </row>
    <row r="778">
      <c r="L778" s="86"/>
    </row>
    <row r="779">
      <c r="L779" s="86"/>
    </row>
    <row r="780">
      <c r="L780" s="86"/>
    </row>
    <row r="781">
      <c r="L781" s="86"/>
    </row>
    <row r="782">
      <c r="L782" s="86"/>
    </row>
    <row r="783">
      <c r="L783" s="86"/>
    </row>
    <row r="784">
      <c r="L784" s="86"/>
    </row>
    <row r="785">
      <c r="L785" s="86"/>
    </row>
    <row r="786">
      <c r="L786" s="86"/>
    </row>
    <row r="787">
      <c r="L787" s="86"/>
    </row>
    <row r="788">
      <c r="L788" s="86"/>
    </row>
    <row r="789">
      <c r="L789" s="86"/>
    </row>
    <row r="790">
      <c r="L790" s="86"/>
    </row>
    <row r="791">
      <c r="L791" s="86"/>
    </row>
    <row r="792">
      <c r="L792" s="86"/>
    </row>
    <row r="793">
      <c r="L793" s="86"/>
    </row>
    <row r="794">
      <c r="L794" s="86"/>
    </row>
    <row r="795">
      <c r="L795" s="86"/>
    </row>
    <row r="796">
      <c r="L796" s="86"/>
    </row>
    <row r="797">
      <c r="L797" s="86"/>
    </row>
    <row r="798">
      <c r="L798" s="86"/>
    </row>
    <row r="799">
      <c r="L799" s="86"/>
    </row>
    <row r="800">
      <c r="L800" s="86"/>
    </row>
    <row r="801">
      <c r="L801" s="86"/>
    </row>
    <row r="802">
      <c r="L802" s="86"/>
    </row>
    <row r="803">
      <c r="L803" s="86"/>
    </row>
    <row r="804">
      <c r="L804" s="86"/>
    </row>
    <row r="805">
      <c r="L805" s="86"/>
    </row>
    <row r="806">
      <c r="L806" s="86"/>
    </row>
    <row r="807">
      <c r="L807" s="86"/>
    </row>
    <row r="808">
      <c r="L808" s="86"/>
    </row>
    <row r="809">
      <c r="L809" s="86"/>
    </row>
    <row r="810">
      <c r="L810" s="86"/>
    </row>
    <row r="811">
      <c r="L811" s="86"/>
    </row>
    <row r="812">
      <c r="L812" s="86"/>
    </row>
    <row r="813">
      <c r="L813" s="86"/>
    </row>
    <row r="814">
      <c r="L814" s="86"/>
    </row>
    <row r="815">
      <c r="L815" s="86"/>
    </row>
    <row r="816">
      <c r="L816" s="86"/>
    </row>
    <row r="817">
      <c r="L817" s="86"/>
    </row>
    <row r="818">
      <c r="L818" s="86"/>
    </row>
    <row r="819">
      <c r="L819" s="86"/>
    </row>
    <row r="820">
      <c r="L820" s="86"/>
    </row>
    <row r="821">
      <c r="L821" s="86"/>
    </row>
    <row r="822">
      <c r="L822" s="86"/>
    </row>
    <row r="823">
      <c r="L823" s="86"/>
    </row>
    <row r="824">
      <c r="L824" s="86"/>
    </row>
    <row r="825">
      <c r="L825" s="86"/>
    </row>
    <row r="826">
      <c r="L826" s="86"/>
    </row>
    <row r="827">
      <c r="L827" s="86"/>
    </row>
    <row r="828">
      <c r="L828" s="86"/>
    </row>
    <row r="829">
      <c r="L829" s="86"/>
    </row>
    <row r="830">
      <c r="L830" s="86"/>
    </row>
    <row r="831">
      <c r="L831" s="86"/>
    </row>
    <row r="832">
      <c r="L832" s="86"/>
    </row>
    <row r="833">
      <c r="L833" s="86"/>
    </row>
    <row r="834">
      <c r="L834" s="86"/>
    </row>
    <row r="835">
      <c r="L835" s="86"/>
    </row>
    <row r="836">
      <c r="L836" s="86"/>
    </row>
    <row r="837">
      <c r="L837" s="86"/>
    </row>
    <row r="838">
      <c r="L838" s="86"/>
    </row>
    <row r="839">
      <c r="L839" s="86"/>
    </row>
    <row r="840">
      <c r="L840" s="86"/>
    </row>
    <row r="841">
      <c r="L841" s="86"/>
    </row>
    <row r="842">
      <c r="L842" s="86"/>
    </row>
    <row r="843">
      <c r="L843" s="86"/>
    </row>
    <row r="844">
      <c r="L844" s="86"/>
    </row>
    <row r="845">
      <c r="L845" s="86"/>
    </row>
    <row r="846">
      <c r="L846" s="86"/>
    </row>
    <row r="847">
      <c r="L847" s="86"/>
    </row>
    <row r="848">
      <c r="L848" s="86"/>
    </row>
    <row r="849">
      <c r="L849" s="86"/>
    </row>
    <row r="850">
      <c r="L850" s="86"/>
    </row>
    <row r="851">
      <c r="L851" s="86"/>
    </row>
    <row r="852">
      <c r="L852" s="86"/>
    </row>
    <row r="853">
      <c r="L853" s="86"/>
    </row>
    <row r="854">
      <c r="L854" s="86"/>
    </row>
    <row r="855">
      <c r="L855" s="86"/>
    </row>
    <row r="856">
      <c r="L856" s="86"/>
    </row>
    <row r="857">
      <c r="L857" s="86"/>
    </row>
    <row r="858">
      <c r="L858" s="86"/>
    </row>
    <row r="859">
      <c r="L859" s="86"/>
    </row>
    <row r="860">
      <c r="L860" s="86"/>
    </row>
    <row r="861">
      <c r="L861" s="86"/>
    </row>
    <row r="862">
      <c r="L862" s="86"/>
    </row>
    <row r="863">
      <c r="L863" s="86"/>
    </row>
    <row r="864">
      <c r="L864" s="86"/>
    </row>
    <row r="865">
      <c r="L865" s="86"/>
    </row>
    <row r="866">
      <c r="L866" s="86"/>
    </row>
    <row r="867">
      <c r="L867" s="86"/>
    </row>
    <row r="868">
      <c r="L868" s="86"/>
    </row>
    <row r="869">
      <c r="L869" s="86"/>
    </row>
    <row r="870">
      <c r="L870" s="86"/>
    </row>
    <row r="871">
      <c r="L871" s="86"/>
    </row>
    <row r="872">
      <c r="L872" s="86"/>
    </row>
    <row r="873">
      <c r="L873" s="86"/>
    </row>
    <row r="874">
      <c r="L874" s="86"/>
    </row>
    <row r="875">
      <c r="L875" s="86"/>
    </row>
    <row r="876">
      <c r="L876" s="86"/>
    </row>
    <row r="877">
      <c r="L877" s="86"/>
    </row>
    <row r="878">
      <c r="L878" s="86"/>
    </row>
    <row r="879">
      <c r="L879" s="86"/>
    </row>
    <row r="880">
      <c r="L880" s="86"/>
    </row>
    <row r="881">
      <c r="L881" s="86"/>
    </row>
    <row r="882">
      <c r="L882" s="86"/>
    </row>
    <row r="883">
      <c r="L883" s="86"/>
    </row>
    <row r="884">
      <c r="L884" s="86"/>
    </row>
    <row r="885">
      <c r="L885" s="86"/>
    </row>
    <row r="886">
      <c r="L886" s="86"/>
    </row>
    <row r="887">
      <c r="L887" s="86"/>
    </row>
    <row r="888">
      <c r="L888" s="86"/>
    </row>
    <row r="889">
      <c r="L889" s="86"/>
    </row>
    <row r="890">
      <c r="L890" s="86"/>
    </row>
    <row r="891">
      <c r="L891" s="86"/>
    </row>
    <row r="892">
      <c r="L892" s="86"/>
    </row>
    <row r="893">
      <c r="L893" s="86"/>
    </row>
    <row r="894">
      <c r="L894" s="86"/>
    </row>
    <row r="895">
      <c r="L895" s="86"/>
    </row>
    <row r="896">
      <c r="L896" s="86"/>
    </row>
    <row r="897">
      <c r="L897" s="86"/>
    </row>
    <row r="898">
      <c r="L898" s="86"/>
    </row>
    <row r="899">
      <c r="L899" s="86"/>
    </row>
    <row r="900">
      <c r="L900" s="86"/>
    </row>
    <row r="901">
      <c r="L901" s="86"/>
    </row>
    <row r="902">
      <c r="L902" s="86"/>
    </row>
    <row r="903">
      <c r="L903" s="86"/>
    </row>
    <row r="904">
      <c r="L904" s="86"/>
    </row>
    <row r="905">
      <c r="L905" s="86"/>
    </row>
    <row r="906">
      <c r="L906" s="86"/>
    </row>
    <row r="907">
      <c r="L907" s="86"/>
    </row>
    <row r="908">
      <c r="L908" s="86"/>
    </row>
    <row r="909">
      <c r="L909" s="86"/>
    </row>
    <row r="910">
      <c r="L910" s="86"/>
    </row>
    <row r="911">
      <c r="L911" s="86"/>
    </row>
    <row r="912">
      <c r="L912" s="86"/>
    </row>
    <row r="913">
      <c r="L913" s="86"/>
    </row>
    <row r="914">
      <c r="L914" s="86"/>
    </row>
    <row r="915">
      <c r="L915" s="86"/>
    </row>
    <row r="916">
      <c r="L916" s="86"/>
    </row>
    <row r="917">
      <c r="L917" s="86"/>
    </row>
    <row r="918">
      <c r="L918" s="86"/>
    </row>
    <row r="919">
      <c r="L919" s="86"/>
    </row>
    <row r="920">
      <c r="L920" s="86"/>
    </row>
    <row r="921">
      <c r="L921" s="86"/>
    </row>
    <row r="922">
      <c r="L922" s="86"/>
    </row>
    <row r="923">
      <c r="L923" s="86"/>
    </row>
    <row r="924">
      <c r="L924" s="86"/>
    </row>
    <row r="925">
      <c r="L925" s="86"/>
    </row>
    <row r="926">
      <c r="L926" s="86"/>
    </row>
    <row r="927">
      <c r="L927" s="86"/>
    </row>
    <row r="928">
      <c r="L928" s="86"/>
    </row>
    <row r="929">
      <c r="L929" s="86"/>
    </row>
    <row r="930">
      <c r="L930" s="86"/>
    </row>
    <row r="931">
      <c r="L931" s="86"/>
    </row>
    <row r="932">
      <c r="L932" s="86"/>
    </row>
    <row r="933">
      <c r="L933" s="86"/>
    </row>
    <row r="934">
      <c r="L934" s="86"/>
    </row>
    <row r="935">
      <c r="L935" s="86"/>
    </row>
    <row r="936">
      <c r="L936" s="86"/>
    </row>
    <row r="937">
      <c r="L937" s="86"/>
    </row>
    <row r="938">
      <c r="L938" s="86"/>
    </row>
    <row r="939">
      <c r="L939" s="86"/>
    </row>
    <row r="940">
      <c r="L940" s="86"/>
    </row>
    <row r="941">
      <c r="L941" s="86"/>
    </row>
    <row r="942">
      <c r="L942" s="86"/>
    </row>
    <row r="943">
      <c r="L943" s="86"/>
    </row>
    <row r="944">
      <c r="L944" s="8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0.0"/>
    <col customWidth="1" min="4" max="4" width="31.25"/>
    <col customWidth="1" min="5" max="5" width="27.63"/>
    <col customWidth="1" min="8" max="8" width="15.38"/>
    <col customWidth="1" min="14" max="14" width="22.75"/>
    <col customWidth="1" min="15" max="15" width="26.25"/>
    <col customWidth="1" min="16" max="16" width="34.25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>
      <c r="A7" s="117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>
      <c r="A8" s="117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>
      <c r="A10" s="117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>
      <c r="A11" s="117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>
      <c r="A12" s="117"/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>
      <c r="A13" s="117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>
      <c r="A14" s="117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>
      <c r="A15" s="117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>
      <c r="A16" s="117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>
      <c r="A18" s="117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>
      <c r="A19" s="117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>
      <c r="A20" s="117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>
      <c r="A22" s="117"/>
      <c r="B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>
      <c r="A23" s="117"/>
      <c r="B23" s="117"/>
      <c r="C23" s="118" t="s">
        <v>199</v>
      </c>
      <c r="D23" s="119" t="s">
        <v>200</v>
      </c>
      <c r="E23" s="119" t="s">
        <v>201</v>
      </c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ht="19.5" customHeight="1">
      <c r="A24" s="117"/>
      <c r="B24" s="117"/>
      <c r="C24" s="120" t="s">
        <v>202</v>
      </c>
      <c r="D24" s="121">
        <v>5418273.0</v>
      </c>
      <c r="E24" s="121">
        <v>8000000.0</v>
      </c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ht="19.5" customHeight="1">
      <c r="A25" s="117"/>
      <c r="B25" s="117"/>
      <c r="C25" s="122" t="s">
        <v>203</v>
      </c>
      <c r="D25" s="123">
        <v>852263.0</v>
      </c>
      <c r="E25" s="124">
        <v>-841203.9280534415</v>
      </c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ht="19.5" customHeight="1">
      <c r="A26" s="117"/>
      <c r="B26" s="117"/>
      <c r="C26" s="122" t="s">
        <v>204</v>
      </c>
      <c r="D26" s="125">
        <v>0.1528804990185928</v>
      </c>
      <c r="E26" s="125">
        <v>0.06384932078603059</v>
      </c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ht="19.5" customHeight="1">
      <c r="A27" s="117"/>
      <c r="B27" s="117"/>
      <c r="C27" s="122" t="s">
        <v>205</v>
      </c>
      <c r="D27" s="119" t="s">
        <v>206</v>
      </c>
      <c r="E27" s="119" t="s">
        <v>207</v>
      </c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ht="19.5" customHeight="1">
      <c r="A28" s="117"/>
      <c r="B28" s="117"/>
      <c r="C28" s="122" t="s">
        <v>208</v>
      </c>
      <c r="D28" s="125">
        <v>0.6279335970078691</v>
      </c>
      <c r="E28" s="125">
        <v>0.09419182901783217</v>
      </c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ht="19.5" customHeight="1">
      <c r="A29" s="117"/>
      <c r="B29" s="117"/>
      <c r="C29" s="120" t="s">
        <v>209</v>
      </c>
      <c r="D29" s="126" t="s">
        <v>210</v>
      </c>
      <c r="E29" s="126" t="s">
        <v>211</v>
      </c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ht="19.5" customHeight="1">
      <c r="A30" s="117"/>
      <c r="B30" s="117"/>
      <c r="C30" s="120" t="s">
        <v>212</v>
      </c>
      <c r="D30" s="126" t="s">
        <v>213</v>
      </c>
      <c r="E30" s="126" t="s">
        <v>214</v>
      </c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ht="19.5" customHeight="1">
      <c r="A31" s="117"/>
      <c r="B31" s="117"/>
      <c r="C31" s="120" t="s">
        <v>215</v>
      </c>
      <c r="D31" s="126" t="s">
        <v>216</v>
      </c>
      <c r="E31" s="126" t="s">
        <v>217</v>
      </c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ht="19.5" customHeight="1">
      <c r="A32" s="117"/>
      <c r="B32" s="117"/>
      <c r="C32" s="122" t="s">
        <v>218</v>
      </c>
      <c r="D32" s="119" t="s">
        <v>219</v>
      </c>
      <c r="E32" s="119" t="s">
        <v>220</v>
      </c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ht="19.5" customHeight="1">
      <c r="A33" s="117"/>
      <c r="B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>
      <c r="A34" s="117"/>
      <c r="B34" s="89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</sheetData>
  <mergeCells count="1">
    <mergeCell ref="B34:H3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5.5"/>
    <col customWidth="1" min="6" max="6" width="34.0"/>
    <col customWidth="1" min="7" max="7" width="30.25"/>
  </cols>
  <sheetData>
    <row r="1">
      <c r="A1" s="115" t="s">
        <v>221</v>
      </c>
      <c r="B1" s="115" t="s">
        <v>222</v>
      </c>
      <c r="C1" s="115" t="s">
        <v>223</v>
      </c>
      <c r="E1" s="115" t="s">
        <v>221</v>
      </c>
      <c r="F1" s="115" t="s">
        <v>224</v>
      </c>
      <c r="G1" s="115" t="s">
        <v>225</v>
      </c>
      <c r="I1" s="115" t="s">
        <v>199</v>
      </c>
      <c r="J1" s="115" t="s">
        <v>226</v>
      </c>
      <c r="K1" s="115" t="s">
        <v>227</v>
      </c>
    </row>
    <row r="2">
      <c r="A2" s="127">
        <v>2018.0</v>
      </c>
      <c r="B2" s="128">
        <v>-1042309.0</v>
      </c>
      <c r="C2" s="128">
        <v>-3787398.0</v>
      </c>
      <c r="E2" s="127">
        <v>2018.0</v>
      </c>
      <c r="F2" s="128">
        <v>-1042309.0</v>
      </c>
      <c r="G2" s="128">
        <v>-3787398.0</v>
      </c>
      <c r="I2" s="127" t="s">
        <v>228</v>
      </c>
      <c r="J2" s="128">
        <v>852000.0</v>
      </c>
      <c r="K2" s="128">
        <v>-841204.0</v>
      </c>
    </row>
    <row r="3">
      <c r="A3" s="127">
        <v>2019.0</v>
      </c>
      <c r="B3" s="128">
        <v>-4375964.0</v>
      </c>
      <c r="C3" s="128">
        <v>-2946924.0</v>
      </c>
      <c r="E3" s="127">
        <v>2019.0</v>
      </c>
      <c r="F3" s="128">
        <v>-5418273.0</v>
      </c>
      <c r="G3" s="128">
        <v>-6734322.0</v>
      </c>
      <c r="I3" s="127" t="s">
        <v>204</v>
      </c>
      <c r="J3" s="129">
        <v>0.153</v>
      </c>
      <c r="K3" s="129">
        <v>0.091</v>
      </c>
    </row>
    <row r="4">
      <c r="A4" s="127">
        <v>2020.0</v>
      </c>
      <c r="B4" s="128">
        <v>1124126.0</v>
      </c>
      <c r="C4" s="128">
        <v>600801.0</v>
      </c>
      <c r="E4" s="127">
        <v>2020.0</v>
      </c>
      <c r="F4" s="128">
        <v>-4294147.0</v>
      </c>
      <c r="G4" s="128">
        <v>-6133521.0</v>
      </c>
    </row>
    <row r="5">
      <c r="A5" s="127">
        <v>2021.0</v>
      </c>
      <c r="B5" s="128">
        <v>1545166.0</v>
      </c>
      <c r="C5" s="128">
        <v>1076344.0</v>
      </c>
      <c r="E5" s="127">
        <v>2021.0</v>
      </c>
      <c r="F5" s="128">
        <v>-2748981.0</v>
      </c>
      <c r="G5" s="128">
        <v>-5057177.0</v>
      </c>
    </row>
    <row r="6">
      <c r="A6" s="127">
        <v>2022.0</v>
      </c>
      <c r="B6" s="128">
        <v>1714541.0</v>
      </c>
      <c r="C6" s="128">
        <v>1643195.0</v>
      </c>
      <c r="E6" s="127">
        <v>2022.0</v>
      </c>
      <c r="F6" s="128">
        <v>-1034440.0</v>
      </c>
      <c r="G6" s="128">
        <v>-3413982.0</v>
      </c>
    </row>
    <row r="7">
      <c r="A7" s="127">
        <v>2023.0</v>
      </c>
      <c r="B7" s="128">
        <v>1900853.0</v>
      </c>
      <c r="C7" s="128">
        <v>2317047.0</v>
      </c>
      <c r="E7" s="127">
        <v>2023.0</v>
      </c>
      <c r="F7" s="128">
        <v>866413.0</v>
      </c>
      <c r="G7" s="128">
        <v>-1096935.0</v>
      </c>
    </row>
    <row r="8">
      <c r="A8" s="127">
        <v>2024.0</v>
      </c>
      <c r="B8" s="128">
        <v>2535904.0</v>
      </c>
      <c r="C8" s="128">
        <v>3116149.0</v>
      </c>
      <c r="E8" s="127">
        <v>2024.0</v>
      </c>
      <c r="F8" s="128">
        <v>3402317.0</v>
      </c>
      <c r="G8" s="128">
        <v>2019214.0</v>
      </c>
    </row>
  </sheetData>
  <drawing r:id="rId1"/>
</worksheet>
</file>